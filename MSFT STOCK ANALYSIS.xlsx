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384" yWindow="408" windowWidth="22644" windowHeight="8964" activeTab="1"/>
  </bookViews>
  <sheets>
    <sheet name="Dashboard" sheetId="2" r:id="rId1"/>
    <sheet name="Data" sheetId="1" r:id="rId2"/>
    <sheet name="Daily Return" sheetId="7" r:id="rId3"/>
    <sheet name="Analysis" sheetId="4" r:id="rId4"/>
  </sheets>
  <calcPr calcId="124519"/>
  <pivotCaches>
    <pivotCache cacheId="0" r:id="rId5"/>
  </pivotCaches>
</workbook>
</file>

<file path=xl/calcChain.xml><?xml version="1.0" encoding="utf-8"?>
<calcChain xmlns="http://schemas.openxmlformats.org/spreadsheetml/2006/main">
  <c r="Q3" i="1"/>
  <c r="Q4"/>
  <c r="Q5"/>
  <c r="Q6"/>
  <c r="Q7"/>
  <c r="Q8"/>
  <c r="Q9"/>
  <c r="Q10"/>
  <c r="Q11"/>
  <c r="Q2"/>
  <c r="P3"/>
  <c r="P4"/>
  <c r="P5"/>
  <c r="P6"/>
  <c r="P7"/>
  <c r="P8"/>
  <c r="P9"/>
  <c r="P10"/>
  <c r="P11"/>
  <c r="P2"/>
  <c r="J64"/>
</calcChain>
</file>

<file path=xl/sharedStrings.xml><?xml version="1.0" encoding="utf-8"?>
<sst xmlns="http://schemas.openxmlformats.org/spreadsheetml/2006/main" count="142" uniqueCount="23">
  <si>
    <t>Date</t>
  </si>
  <si>
    <t>Open</t>
  </si>
  <si>
    <t>High</t>
  </si>
  <si>
    <t>Low</t>
  </si>
  <si>
    <t>Close</t>
  </si>
  <si>
    <t>Adj Close</t>
  </si>
  <si>
    <t>Volume</t>
  </si>
  <si>
    <t>return</t>
  </si>
  <si>
    <t>Row Labels</t>
  </si>
  <si>
    <t>Grand Total</t>
  </si>
  <si>
    <t>No of trader</t>
  </si>
  <si>
    <t>Thursday</t>
  </si>
  <si>
    <t>Friday</t>
  </si>
  <si>
    <t>Saturday</t>
  </si>
  <si>
    <t>Sunday</t>
  </si>
  <si>
    <t>Monday</t>
  </si>
  <si>
    <t>Tuesday</t>
  </si>
  <si>
    <t>Wednesday</t>
  </si>
  <si>
    <t>Day</t>
  </si>
  <si>
    <t>January</t>
  </si>
  <si>
    <t>Month</t>
  </si>
  <si>
    <t>Sum of return</t>
  </si>
  <si>
    <t xml:space="preserve">                       Microsoft Financial Performance Dashboard                    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</si>
</sst>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1"/>
      <color rgb="FFFFFFFF"/>
      <name val="Calibri"/>
      <family val="2"/>
    </font>
    <font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6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11" fillId="6" borderId="0" applyNumberFormat="0" applyBorder="0" applyAlignment="0" applyProtection="0"/>
  </cellStyleXfs>
  <cellXfs count="3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0" fontId="5" fillId="5" borderId="0" xfId="2"/>
    <xf numFmtId="0" fontId="4" fillId="4" borderId="0" xfId="1"/>
    <xf numFmtId="0" fontId="1" fillId="0" borderId="0" xfId="0" applyFont="1" applyBorder="1" applyAlignment="1">
      <alignment vertical="center"/>
    </xf>
    <xf numFmtId="9" fontId="2" fillId="0" borderId="0" xfId="0" applyNumberFormat="1" applyFont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14" fontId="1" fillId="2" borderId="1" xfId="0" applyNumberFormat="1" applyFont="1" applyFill="1" applyBorder="1" applyAlignment="1">
      <alignment horizontal="center" vertical="top"/>
    </xf>
    <xf numFmtId="14" fontId="1" fillId="0" borderId="1" xfId="0" applyNumberFormat="1" applyFont="1" applyFill="1" applyBorder="1" applyAlignment="1">
      <alignment horizontal="center" vertical="top"/>
    </xf>
    <xf numFmtId="0" fontId="7" fillId="0" borderId="3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1" fillId="6" borderId="0" xfId="3"/>
    <xf numFmtId="0" fontId="0" fillId="0" borderId="1" xfId="0" pivotButton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0" borderId="1" xfId="0" applyNumberFormat="1" applyBorder="1"/>
    <xf numFmtId="14" fontId="0" fillId="0" borderId="1" xfId="0" applyNumberFormat="1" applyBorder="1"/>
  </cellXfs>
  <cellStyles count="4">
    <cellStyle name="20% - Accent1" xfId="3" builtinId="30"/>
    <cellStyle name="Good" xfId="1" builtinId="26"/>
    <cellStyle name="Neutral" xfId="2" builtinId="28"/>
    <cellStyle name="Normal" xfId="0" builtinId="0"/>
  </cellStyles>
  <dxfs count="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v>Total</c:v>
          </c:tx>
          <c:marker>
            <c:symbol val="none"/>
          </c:marker>
          <c:cat>
            <c:strLit>
              <c:ptCount val="61"/>
              <c:pt idx="0">
                <c:v>4/1/2018</c:v>
              </c:pt>
              <c:pt idx="1">
                <c:v>5/1/2018</c:v>
              </c:pt>
              <c:pt idx="2">
                <c:v>6/1/2018</c:v>
              </c:pt>
              <c:pt idx="3">
                <c:v>7/1/2018</c:v>
              </c:pt>
              <c:pt idx="4">
                <c:v>8/1/2018</c:v>
              </c:pt>
              <c:pt idx="5">
                <c:v>9/1/2018</c:v>
              </c:pt>
              <c:pt idx="6">
                <c:v>10/1/2018</c:v>
              </c:pt>
              <c:pt idx="7">
                <c:v>11/1/2018</c:v>
              </c:pt>
              <c:pt idx="8">
                <c:v>12/1/2018</c:v>
              </c:pt>
              <c:pt idx="9">
                <c:v>1/1/2019</c:v>
              </c:pt>
              <c:pt idx="10">
                <c:v>2/1/2019</c:v>
              </c:pt>
              <c:pt idx="11">
                <c:v>3/1/2019</c:v>
              </c:pt>
              <c:pt idx="12">
                <c:v>4/1/2019</c:v>
              </c:pt>
              <c:pt idx="13">
                <c:v>5/1/2019</c:v>
              </c:pt>
              <c:pt idx="14">
                <c:v>6/1/2019</c:v>
              </c:pt>
              <c:pt idx="15">
                <c:v>7/1/2019</c:v>
              </c:pt>
              <c:pt idx="16">
                <c:v>8/1/2019</c:v>
              </c:pt>
              <c:pt idx="17">
                <c:v>9/1/2019</c:v>
              </c:pt>
              <c:pt idx="18">
                <c:v>10/1/2019</c:v>
              </c:pt>
              <c:pt idx="19">
                <c:v>11/1/2019</c:v>
              </c:pt>
              <c:pt idx="20">
                <c:v>12/1/2019</c:v>
              </c:pt>
              <c:pt idx="21">
                <c:v>1/1/2020</c:v>
              </c:pt>
              <c:pt idx="22">
                <c:v>2/1/2020</c:v>
              </c:pt>
              <c:pt idx="23">
                <c:v>3/1/2020</c:v>
              </c:pt>
              <c:pt idx="24">
                <c:v>4/1/2020</c:v>
              </c:pt>
              <c:pt idx="25">
                <c:v>5/1/2020</c:v>
              </c:pt>
              <c:pt idx="26">
                <c:v>6/1/2020</c:v>
              </c:pt>
              <c:pt idx="27">
                <c:v>7/1/2020</c:v>
              </c:pt>
              <c:pt idx="28">
                <c:v>8/1/2020</c:v>
              </c:pt>
              <c:pt idx="29">
                <c:v>9/1/2020</c:v>
              </c:pt>
              <c:pt idx="30">
                <c:v>10/1/2020</c:v>
              </c:pt>
              <c:pt idx="31">
                <c:v>11/1/2020</c:v>
              </c:pt>
              <c:pt idx="32">
                <c:v>12/1/2020</c:v>
              </c:pt>
              <c:pt idx="33">
                <c:v>1/1/2021</c:v>
              </c:pt>
              <c:pt idx="34">
                <c:v>2/1/2021</c:v>
              </c:pt>
              <c:pt idx="35">
                <c:v>3/1/2021</c:v>
              </c:pt>
              <c:pt idx="36">
                <c:v>4/1/2021</c:v>
              </c:pt>
              <c:pt idx="37">
                <c:v>5/1/2021</c:v>
              </c:pt>
              <c:pt idx="38">
                <c:v>6/1/2021</c:v>
              </c:pt>
              <c:pt idx="39">
                <c:v>7/1/2021</c:v>
              </c:pt>
              <c:pt idx="40">
                <c:v>8/1/2021</c:v>
              </c:pt>
              <c:pt idx="41">
                <c:v>9/1/2021</c:v>
              </c:pt>
              <c:pt idx="42">
                <c:v>10/1/2021</c:v>
              </c:pt>
              <c:pt idx="43">
                <c:v>11/1/2021</c:v>
              </c:pt>
              <c:pt idx="44">
                <c:v>12/1/2021</c:v>
              </c:pt>
              <c:pt idx="45">
                <c:v>1/1/2022</c:v>
              </c:pt>
              <c:pt idx="46">
                <c:v>2/1/2022</c:v>
              </c:pt>
              <c:pt idx="47">
                <c:v>3/1/2022</c:v>
              </c:pt>
              <c:pt idx="48">
                <c:v>4/1/2022</c:v>
              </c:pt>
              <c:pt idx="49">
                <c:v>5/1/2022</c:v>
              </c:pt>
              <c:pt idx="50">
                <c:v>6/1/2022</c:v>
              </c:pt>
              <c:pt idx="51">
                <c:v>7/1/2022</c:v>
              </c:pt>
              <c:pt idx="52">
                <c:v>8/1/2022</c:v>
              </c:pt>
              <c:pt idx="53">
                <c:v>9/1/2022</c:v>
              </c:pt>
              <c:pt idx="54">
                <c:v>10/1/2022</c:v>
              </c:pt>
              <c:pt idx="55">
                <c:v>11/1/2022</c:v>
              </c:pt>
              <c:pt idx="56">
                <c:v>12/1/2022</c:v>
              </c:pt>
              <c:pt idx="57">
                <c:v>1/1/2023</c:v>
              </c:pt>
              <c:pt idx="58">
                <c:v>2/1/2023</c:v>
              </c:pt>
              <c:pt idx="59">
                <c:v>3/1/2023</c:v>
              </c:pt>
              <c:pt idx="60">
                <c:v>3/17/2023</c:v>
              </c:pt>
            </c:strLit>
          </c:cat>
          <c:val>
            <c:numLit>
              <c:formatCode>General</c:formatCode>
              <c:ptCount val="61"/>
              <c:pt idx="0">
                <c:v>97.9</c:v>
              </c:pt>
              <c:pt idx="1">
                <c:v>99.990000000000009</c:v>
              </c:pt>
              <c:pt idx="2">
                <c:v>102.69</c:v>
              </c:pt>
              <c:pt idx="3">
                <c:v>111.14999999999999</c:v>
              </c:pt>
              <c:pt idx="4">
                <c:v>112.78</c:v>
              </c:pt>
              <c:pt idx="5">
                <c:v>115.29</c:v>
              </c:pt>
              <c:pt idx="6">
                <c:v>116.17999999999999</c:v>
              </c:pt>
              <c:pt idx="7">
                <c:v>112.24000000000001</c:v>
              </c:pt>
              <c:pt idx="8">
                <c:v>113.42</c:v>
              </c:pt>
              <c:pt idx="9">
                <c:v>107.9</c:v>
              </c:pt>
              <c:pt idx="10">
                <c:v>113.24000000000001</c:v>
              </c:pt>
              <c:pt idx="11">
                <c:v>120.82</c:v>
              </c:pt>
              <c:pt idx="12">
                <c:v>131.37</c:v>
              </c:pt>
              <c:pt idx="13">
                <c:v>130.65</c:v>
              </c:pt>
              <c:pt idx="14">
                <c:v>138.4</c:v>
              </c:pt>
              <c:pt idx="15">
                <c:v>141.68</c:v>
              </c:pt>
              <c:pt idx="16">
                <c:v>140.94</c:v>
              </c:pt>
              <c:pt idx="17">
                <c:v>142.37</c:v>
              </c:pt>
              <c:pt idx="18">
                <c:v>145.66999999999999</c:v>
              </c:pt>
              <c:pt idx="19">
                <c:v>152.5</c:v>
              </c:pt>
              <c:pt idx="20">
                <c:v>159.55000000000001</c:v>
              </c:pt>
              <c:pt idx="21">
                <c:v>174.05</c:v>
              </c:pt>
              <c:pt idx="22">
                <c:v>190.7</c:v>
              </c:pt>
              <c:pt idx="23">
                <c:v>175</c:v>
              </c:pt>
              <c:pt idx="24">
                <c:v>180.4</c:v>
              </c:pt>
              <c:pt idx="25">
                <c:v>187.51</c:v>
              </c:pt>
              <c:pt idx="26">
                <c:v>204.4</c:v>
              </c:pt>
              <c:pt idx="27">
                <c:v>216.38000000000002</c:v>
              </c:pt>
              <c:pt idx="28">
                <c:v>231.15</c:v>
              </c:pt>
              <c:pt idx="29">
                <c:v>232.86</c:v>
              </c:pt>
              <c:pt idx="30">
                <c:v>225.20999999999998</c:v>
              </c:pt>
              <c:pt idx="31">
                <c:v>228.12</c:v>
              </c:pt>
              <c:pt idx="32">
                <c:v>227.18</c:v>
              </c:pt>
              <c:pt idx="33">
                <c:v>242.64</c:v>
              </c:pt>
              <c:pt idx="34">
                <c:v>246.13</c:v>
              </c:pt>
              <c:pt idx="35">
                <c:v>241.05</c:v>
              </c:pt>
              <c:pt idx="36">
                <c:v>263.19</c:v>
              </c:pt>
              <c:pt idx="37">
                <c:v>254.35000000000002</c:v>
              </c:pt>
              <c:pt idx="38">
                <c:v>271.64999999999998</c:v>
              </c:pt>
              <c:pt idx="39">
                <c:v>290.14999999999998</c:v>
              </c:pt>
              <c:pt idx="40">
                <c:v>305.83999999999992</c:v>
              </c:pt>
              <c:pt idx="41">
                <c:v>305.32</c:v>
              </c:pt>
              <c:pt idx="42">
                <c:v>332</c:v>
              </c:pt>
              <c:pt idx="43">
                <c:v>349.67</c:v>
              </c:pt>
              <c:pt idx="44">
                <c:v>344.3</c:v>
              </c:pt>
              <c:pt idx="45">
                <c:v>338</c:v>
              </c:pt>
              <c:pt idx="46">
                <c:v>315.12</c:v>
              </c:pt>
              <c:pt idx="47">
                <c:v>315.95</c:v>
              </c:pt>
              <c:pt idx="48">
                <c:v>315.11</c:v>
              </c:pt>
              <c:pt idx="49">
                <c:v>290.88</c:v>
              </c:pt>
              <c:pt idx="50">
                <c:v>277.69</c:v>
              </c:pt>
              <c:pt idx="51">
                <c:v>282</c:v>
              </c:pt>
              <c:pt idx="52">
                <c:v>294.18</c:v>
              </c:pt>
              <c:pt idx="53">
                <c:v>267.45</c:v>
              </c:pt>
              <c:pt idx="54">
                <c:v>251.04</c:v>
              </c:pt>
              <c:pt idx="55">
                <c:v>255.33</c:v>
              </c:pt>
              <c:pt idx="56">
                <c:v>263.91999999999996</c:v>
              </c:pt>
              <c:pt idx="57">
                <c:v>249.83</c:v>
              </c:pt>
              <c:pt idx="58">
                <c:v>276.76</c:v>
              </c:pt>
              <c:pt idx="59">
                <c:v>283.33</c:v>
              </c:pt>
              <c:pt idx="60">
                <c:v>283.33</c:v>
              </c:pt>
            </c:numLit>
          </c:val>
        </c:ser>
        <c:marker val="1"/>
        <c:axId val="135584384"/>
        <c:axId val="135602560"/>
      </c:lineChart>
      <c:catAx>
        <c:axId val="135584384"/>
        <c:scaling>
          <c:orientation val="minMax"/>
        </c:scaling>
        <c:axPos val="b"/>
        <c:tickLblPos val="nextTo"/>
        <c:crossAx val="135602560"/>
        <c:crosses val="autoZero"/>
        <c:auto val="1"/>
        <c:lblAlgn val="ctr"/>
        <c:lblOffset val="100"/>
      </c:catAx>
      <c:valAx>
        <c:axId val="135602560"/>
        <c:scaling>
          <c:orientation val="minMax"/>
        </c:scaling>
        <c:axPos val="l"/>
        <c:majorGridlines/>
        <c:numFmt formatCode="General" sourceLinked="1"/>
        <c:tickLblPos val="nextTo"/>
        <c:crossAx val="135584384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[MSFT STOCK ANALYSIS.xlsx]Daily Return!PivotTable4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Return of stock in %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</c:pivotFmt>
      <c:pivotFmt>
        <c:idx val="6"/>
        <c:marker>
          <c:symbol val="none"/>
        </c:marker>
        <c:dLbl>
          <c:idx val="0"/>
          <c:delete val="1"/>
        </c:dLbl>
      </c:pivotFmt>
      <c:pivotFmt>
        <c:idx val="7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'Daily Return'!$B$3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'Daily Return'!$A$4:$A$65</c:f>
              <c:strCache>
                <c:ptCount val="61"/>
                <c:pt idx="0">
                  <c:v>4/1/2018</c:v>
                </c:pt>
                <c:pt idx="1">
                  <c:v>5/1/2018</c:v>
                </c:pt>
                <c:pt idx="2">
                  <c:v>6/1/2018</c:v>
                </c:pt>
                <c:pt idx="3">
                  <c:v>7/1/2018</c:v>
                </c:pt>
                <c:pt idx="4">
                  <c:v>8/1/2018</c:v>
                </c:pt>
                <c:pt idx="5">
                  <c:v>9/1/2018</c:v>
                </c:pt>
                <c:pt idx="6">
                  <c:v>10/1/2018</c:v>
                </c:pt>
                <c:pt idx="7">
                  <c:v>11/1/2018</c:v>
                </c:pt>
                <c:pt idx="8">
                  <c:v>12/1/2018</c:v>
                </c:pt>
                <c:pt idx="9">
                  <c:v>1/1/2019</c:v>
                </c:pt>
                <c:pt idx="10">
                  <c:v>2/1/2019</c:v>
                </c:pt>
                <c:pt idx="11">
                  <c:v>3/1/2019</c:v>
                </c:pt>
                <c:pt idx="12">
                  <c:v>4/1/2019</c:v>
                </c:pt>
                <c:pt idx="13">
                  <c:v>5/1/2019</c:v>
                </c:pt>
                <c:pt idx="14">
                  <c:v>6/1/2019</c:v>
                </c:pt>
                <c:pt idx="15">
                  <c:v>7/1/2019</c:v>
                </c:pt>
                <c:pt idx="16">
                  <c:v>8/1/2019</c:v>
                </c:pt>
                <c:pt idx="17">
                  <c:v>9/1/2019</c:v>
                </c:pt>
                <c:pt idx="18">
                  <c:v>10/1/2019</c:v>
                </c:pt>
                <c:pt idx="19">
                  <c:v>11/1/2019</c:v>
                </c:pt>
                <c:pt idx="20">
                  <c:v>12/1/2019</c:v>
                </c:pt>
                <c:pt idx="21">
                  <c:v>1/1/2020</c:v>
                </c:pt>
                <c:pt idx="22">
                  <c:v>2/1/2020</c:v>
                </c:pt>
                <c:pt idx="23">
                  <c:v>3/1/2020</c:v>
                </c:pt>
                <c:pt idx="24">
                  <c:v>4/1/2020</c:v>
                </c:pt>
                <c:pt idx="25">
                  <c:v>5/1/2020</c:v>
                </c:pt>
                <c:pt idx="26">
                  <c:v>6/1/2020</c:v>
                </c:pt>
                <c:pt idx="27">
                  <c:v>7/1/2020</c:v>
                </c:pt>
                <c:pt idx="28">
                  <c:v>8/1/2020</c:v>
                </c:pt>
                <c:pt idx="29">
                  <c:v>9/1/2020</c:v>
                </c:pt>
                <c:pt idx="30">
                  <c:v>10/1/2020</c:v>
                </c:pt>
                <c:pt idx="31">
                  <c:v>11/1/2020</c:v>
                </c:pt>
                <c:pt idx="32">
                  <c:v>12/1/2020</c:v>
                </c:pt>
                <c:pt idx="33">
                  <c:v>1/1/2021</c:v>
                </c:pt>
                <c:pt idx="34">
                  <c:v>2/1/2021</c:v>
                </c:pt>
                <c:pt idx="35">
                  <c:v>3/1/2021</c:v>
                </c:pt>
                <c:pt idx="36">
                  <c:v>4/1/2021</c:v>
                </c:pt>
                <c:pt idx="37">
                  <c:v>5/1/2021</c:v>
                </c:pt>
                <c:pt idx="38">
                  <c:v>6/1/2021</c:v>
                </c:pt>
                <c:pt idx="39">
                  <c:v>7/1/2021</c:v>
                </c:pt>
                <c:pt idx="40">
                  <c:v>8/1/2021</c:v>
                </c:pt>
                <c:pt idx="41">
                  <c:v>9/1/2021</c:v>
                </c:pt>
                <c:pt idx="42">
                  <c:v>10/1/2021</c:v>
                </c:pt>
                <c:pt idx="43">
                  <c:v>11/1/2021</c:v>
                </c:pt>
                <c:pt idx="44">
                  <c:v>12/1/2021</c:v>
                </c:pt>
                <c:pt idx="45">
                  <c:v>1/1/2022</c:v>
                </c:pt>
                <c:pt idx="46">
                  <c:v>2/1/2022</c:v>
                </c:pt>
                <c:pt idx="47">
                  <c:v>3/1/2022</c:v>
                </c:pt>
                <c:pt idx="48">
                  <c:v>4/1/2022</c:v>
                </c:pt>
                <c:pt idx="49">
                  <c:v>5/1/2022</c:v>
                </c:pt>
                <c:pt idx="50">
                  <c:v>6/1/2022</c:v>
                </c:pt>
                <c:pt idx="51">
                  <c:v>7/1/2022</c:v>
                </c:pt>
                <c:pt idx="52">
                  <c:v>8/1/2022</c:v>
                </c:pt>
                <c:pt idx="53">
                  <c:v>9/1/2022</c:v>
                </c:pt>
                <c:pt idx="54">
                  <c:v>10/1/2022</c:v>
                </c:pt>
                <c:pt idx="55">
                  <c:v>11/1/2022</c:v>
                </c:pt>
                <c:pt idx="56">
                  <c:v>12/1/2022</c:v>
                </c:pt>
                <c:pt idx="57">
                  <c:v>1/1/2023</c:v>
                </c:pt>
                <c:pt idx="58">
                  <c:v>2/1/2023</c:v>
                </c:pt>
                <c:pt idx="59">
                  <c:v>3/1/2023</c:v>
                </c:pt>
                <c:pt idx="60">
                  <c:v>3/17/2023</c:v>
                </c:pt>
              </c:strCache>
            </c:strRef>
          </c:cat>
          <c:val>
            <c:numRef>
              <c:f>'Daily Return'!$B$4:$B$65</c:f>
              <c:numCache>
                <c:formatCode>General</c:formatCode>
                <c:ptCount val="61"/>
                <c:pt idx="0">
                  <c:v>0.03</c:v>
                </c:pt>
                <c:pt idx="1">
                  <c:v>0.06</c:v>
                </c:pt>
                <c:pt idx="2">
                  <c:v>-0.01</c:v>
                </c:pt>
                <c:pt idx="3">
                  <c:v>0.08</c:v>
                </c:pt>
                <c:pt idx="4">
                  <c:v>0.06</c:v>
                </c:pt>
                <c:pt idx="5">
                  <c:v>0.03</c:v>
                </c:pt>
                <c:pt idx="6">
                  <c:v>-7.0000000000000007E-2</c:v>
                </c:pt>
                <c:pt idx="7">
                  <c:v>0.04</c:v>
                </c:pt>
                <c:pt idx="8">
                  <c:v>-0.1</c:v>
                </c:pt>
                <c:pt idx="9">
                  <c:v>0.05</c:v>
                </c:pt>
                <c:pt idx="10">
                  <c:v>0.08</c:v>
                </c:pt>
                <c:pt idx="11">
                  <c:v>0.04</c:v>
                </c:pt>
                <c:pt idx="12">
                  <c:v>0.1</c:v>
                </c:pt>
                <c:pt idx="13">
                  <c:v>-0.05</c:v>
                </c:pt>
                <c:pt idx="14">
                  <c:v>0.08</c:v>
                </c:pt>
                <c:pt idx="15">
                  <c:v>0</c:v>
                </c:pt>
                <c:pt idx="16">
                  <c:v>0.01</c:v>
                </c:pt>
                <c:pt idx="17">
                  <c:v>0.02</c:v>
                </c:pt>
                <c:pt idx="18">
                  <c:v>0.03</c:v>
                </c:pt>
                <c:pt idx="19">
                  <c:v>0.05</c:v>
                </c:pt>
                <c:pt idx="20">
                  <c:v>0.04</c:v>
                </c:pt>
                <c:pt idx="21">
                  <c:v>7.0000000000000007E-2</c:v>
                </c:pt>
                <c:pt idx="22">
                  <c:v>-0.05</c:v>
                </c:pt>
                <c:pt idx="23">
                  <c:v>-0.05</c:v>
                </c:pt>
                <c:pt idx="24">
                  <c:v>0.17</c:v>
                </c:pt>
                <c:pt idx="25">
                  <c:v>0.04</c:v>
                </c:pt>
                <c:pt idx="26">
                  <c:v>0.11</c:v>
                </c:pt>
                <c:pt idx="27">
                  <c:v>0.01</c:v>
                </c:pt>
                <c:pt idx="28">
                  <c:v>7.0000000000000007E-2</c:v>
                </c:pt>
                <c:pt idx="29">
                  <c:v>-7.0000000000000007E-2</c:v>
                </c:pt>
                <c:pt idx="30">
                  <c:v>-0.05</c:v>
                </c:pt>
                <c:pt idx="31">
                  <c:v>0.05</c:v>
                </c:pt>
                <c:pt idx="32">
                  <c:v>0.04</c:v>
                </c:pt>
                <c:pt idx="33">
                  <c:v>0.04</c:v>
                </c:pt>
                <c:pt idx="34">
                  <c:v>-0.01</c:v>
                </c:pt>
                <c:pt idx="35">
                  <c:v>0</c:v>
                </c:pt>
                <c:pt idx="36">
                  <c:v>0.06</c:v>
                </c:pt>
                <c:pt idx="37">
                  <c:v>-0.01</c:v>
                </c:pt>
                <c:pt idx="38">
                  <c:v>0.08</c:v>
                </c:pt>
                <c:pt idx="39">
                  <c:v>0.06</c:v>
                </c:pt>
                <c:pt idx="40">
                  <c:v>0.05</c:v>
                </c:pt>
                <c:pt idx="41">
                  <c:v>-7.0000000000000007E-2</c:v>
                </c:pt>
                <c:pt idx="42">
                  <c:v>0.18</c:v>
                </c:pt>
                <c:pt idx="43">
                  <c:v>0</c:v>
                </c:pt>
                <c:pt idx="44">
                  <c:v>0</c:v>
                </c:pt>
                <c:pt idx="45">
                  <c:v>-7.0000000000000007E-2</c:v>
                </c:pt>
                <c:pt idx="46">
                  <c:v>-0.04</c:v>
                </c:pt>
                <c:pt idx="47">
                  <c:v>0.04</c:v>
                </c:pt>
                <c:pt idx="48">
                  <c:v>-0.1</c:v>
                </c:pt>
                <c:pt idx="49">
                  <c:v>-0.02</c:v>
                </c:pt>
                <c:pt idx="50">
                  <c:v>-7.0000000000000007E-2</c:v>
                </c:pt>
                <c:pt idx="51">
                  <c:v>0.09</c:v>
                </c:pt>
                <c:pt idx="52">
                  <c:v>-0.06</c:v>
                </c:pt>
                <c:pt idx="53">
                  <c:v>-0.1</c:v>
                </c:pt>
                <c:pt idx="54">
                  <c:v>-0.01</c:v>
                </c:pt>
                <c:pt idx="55">
                  <c:v>0.09</c:v>
                </c:pt>
                <c:pt idx="56">
                  <c:v>-0.06</c:v>
                </c:pt>
                <c:pt idx="57">
                  <c:v>0.02</c:v>
                </c:pt>
                <c:pt idx="58">
                  <c:v>0.01</c:v>
                </c:pt>
                <c:pt idx="59">
                  <c:v>0.11</c:v>
                </c:pt>
                <c:pt idx="60">
                  <c:v>0</c:v>
                </c:pt>
              </c:numCache>
            </c:numRef>
          </c:val>
        </c:ser>
        <c:gapWidth val="75"/>
        <c:overlap val="-25"/>
        <c:axId val="135609728"/>
        <c:axId val="135656576"/>
      </c:barChart>
      <c:catAx>
        <c:axId val="135609728"/>
        <c:scaling>
          <c:orientation val="minMax"/>
        </c:scaling>
        <c:axPos val="b"/>
        <c:majorTickMark val="none"/>
        <c:tickLblPos val="nextTo"/>
        <c:crossAx val="135656576"/>
        <c:crosses val="autoZero"/>
        <c:auto val="1"/>
        <c:lblAlgn val="ctr"/>
        <c:lblOffset val="100"/>
      </c:catAx>
      <c:valAx>
        <c:axId val="13565657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135609728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 of trader</a:t>
            </a:r>
            <a:r>
              <a:rPr lang="en-US" baseline="0"/>
              <a:t> trades MISFT shares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Analysis!$B$1</c:f>
              <c:strCache>
                <c:ptCount val="1"/>
                <c:pt idx="0">
                  <c:v>No of trader</c:v>
                </c:pt>
              </c:strCache>
            </c:strRef>
          </c:tx>
          <c:cat>
            <c:numRef>
              <c:f>Analysis!$A$2:$A$62</c:f>
              <c:numCache>
                <c:formatCode>m/d/yyyy</c:formatCode>
                <c:ptCount val="61"/>
                <c:pt idx="0">
                  <c:v>43191</c:v>
                </c:pt>
                <c:pt idx="1">
                  <c:v>43221</c:v>
                </c:pt>
                <c:pt idx="2">
                  <c:v>43252</c:v>
                </c:pt>
                <c:pt idx="3">
                  <c:v>43282</c:v>
                </c:pt>
                <c:pt idx="4">
                  <c:v>43313</c:v>
                </c:pt>
                <c:pt idx="5">
                  <c:v>43344</c:v>
                </c:pt>
                <c:pt idx="6">
                  <c:v>43374</c:v>
                </c:pt>
                <c:pt idx="7">
                  <c:v>43405</c:v>
                </c:pt>
                <c:pt idx="8">
                  <c:v>43435</c:v>
                </c:pt>
                <c:pt idx="9">
                  <c:v>43466</c:v>
                </c:pt>
                <c:pt idx="10">
                  <c:v>43497</c:v>
                </c:pt>
                <c:pt idx="11">
                  <c:v>43525</c:v>
                </c:pt>
                <c:pt idx="12">
                  <c:v>43556</c:v>
                </c:pt>
                <c:pt idx="13">
                  <c:v>43586</c:v>
                </c:pt>
                <c:pt idx="14">
                  <c:v>43617</c:v>
                </c:pt>
                <c:pt idx="15">
                  <c:v>43647</c:v>
                </c:pt>
                <c:pt idx="16">
                  <c:v>43678</c:v>
                </c:pt>
                <c:pt idx="17">
                  <c:v>43709</c:v>
                </c:pt>
                <c:pt idx="18">
                  <c:v>43739</c:v>
                </c:pt>
                <c:pt idx="19">
                  <c:v>43770</c:v>
                </c:pt>
                <c:pt idx="20">
                  <c:v>43800</c:v>
                </c:pt>
                <c:pt idx="21">
                  <c:v>43831</c:v>
                </c:pt>
                <c:pt idx="22">
                  <c:v>43862</c:v>
                </c:pt>
                <c:pt idx="23">
                  <c:v>43891</c:v>
                </c:pt>
                <c:pt idx="24">
                  <c:v>43922</c:v>
                </c:pt>
                <c:pt idx="25">
                  <c:v>43952</c:v>
                </c:pt>
                <c:pt idx="26">
                  <c:v>43983</c:v>
                </c:pt>
                <c:pt idx="27">
                  <c:v>44013</c:v>
                </c:pt>
                <c:pt idx="28">
                  <c:v>44044</c:v>
                </c:pt>
                <c:pt idx="29">
                  <c:v>44075</c:v>
                </c:pt>
                <c:pt idx="30">
                  <c:v>44105</c:v>
                </c:pt>
                <c:pt idx="31">
                  <c:v>44136</c:v>
                </c:pt>
                <c:pt idx="32">
                  <c:v>44166</c:v>
                </c:pt>
                <c:pt idx="33">
                  <c:v>44197</c:v>
                </c:pt>
                <c:pt idx="34">
                  <c:v>44228</c:v>
                </c:pt>
                <c:pt idx="35">
                  <c:v>44256</c:v>
                </c:pt>
                <c:pt idx="36">
                  <c:v>44287</c:v>
                </c:pt>
                <c:pt idx="37">
                  <c:v>44317</c:v>
                </c:pt>
                <c:pt idx="38">
                  <c:v>44348</c:v>
                </c:pt>
                <c:pt idx="39">
                  <c:v>44378</c:v>
                </c:pt>
                <c:pt idx="40">
                  <c:v>44409</c:v>
                </c:pt>
                <c:pt idx="41">
                  <c:v>44440</c:v>
                </c:pt>
                <c:pt idx="42">
                  <c:v>44470</c:v>
                </c:pt>
                <c:pt idx="43">
                  <c:v>44501</c:v>
                </c:pt>
                <c:pt idx="44">
                  <c:v>44531</c:v>
                </c:pt>
                <c:pt idx="45">
                  <c:v>44562</c:v>
                </c:pt>
                <c:pt idx="46">
                  <c:v>44593</c:v>
                </c:pt>
                <c:pt idx="47">
                  <c:v>44621</c:v>
                </c:pt>
                <c:pt idx="48">
                  <c:v>44652</c:v>
                </c:pt>
                <c:pt idx="49">
                  <c:v>44682</c:v>
                </c:pt>
                <c:pt idx="50">
                  <c:v>44713</c:v>
                </c:pt>
                <c:pt idx="51">
                  <c:v>44743</c:v>
                </c:pt>
                <c:pt idx="52">
                  <c:v>44774</c:v>
                </c:pt>
                <c:pt idx="53">
                  <c:v>44805</c:v>
                </c:pt>
                <c:pt idx="54">
                  <c:v>44835</c:v>
                </c:pt>
                <c:pt idx="55">
                  <c:v>44866</c:v>
                </c:pt>
                <c:pt idx="56">
                  <c:v>44896</c:v>
                </c:pt>
                <c:pt idx="57">
                  <c:v>44927</c:v>
                </c:pt>
                <c:pt idx="58">
                  <c:v>44958</c:v>
                </c:pt>
                <c:pt idx="59">
                  <c:v>44986</c:v>
                </c:pt>
                <c:pt idx="60">
                  <c:v>45002</c:v>
                </c:pt>
              </c:numCache>
            </c:numRef>
          </c:cat>
          <c:val>
            <c:numRef>
              <c:f>Analysis!$B$2:$B$62</c:f>
              <c:numCache>
                <c:formatCode>General</c:formatCode>
                <c:ptCount val="61"/>
                <c:pt idx="0">
                  <c:v>4745</c:v>
                </c:pt>
                <c:pt idx="1">
                  <c:v>3074</c:v>
                </c:pt>
                <c:pt idx="2">
                  <c:v>2669</c:v>
                </c:pt>
                <c:pt idx="3">
                  <c:v>2655</c:v>
                </c:pt>
                <c:pt idx="4">
                  <c:v>2482</c:v>
                </c:pt>
                <c:pt idx="5">
                  <c:v>8264</c:v>
                </c:pt>
                <c:pt idx="6">
                  <c:v>6668</c:v>
                </c:pt>
                <c:pt idx="7">
                  <c:v>5404</c:v>
                </c:pt>
                <c:pt idx="8">
                  <c:v>9890</c:v>
                </c:pt>
                <c:pt idx="9">
                  <c:v>7793</c:v>
                </c:pt>
                <c:pt idx="10">
                  <c:v>7037</c:v>
                </c:pt>
                <c:pt idx="11">
                  <c:v>7050</c:v>
                </c:pt>
                <c:pt idx="12">
                  <c:v>8702</c:v>
                </c:pt>
                <c:pt idx="13">
                  <c:v>5967</c:v>
                </c:pt>
                <c:pt idx="14">
                  <c:v>7407</c:v>
                </c:pt>
                <c:pt idx="15">
                  <c:v>3529</c:v>
                </c:pt>
                <c:pt idx="16">
                  <c:v>8818</c:v>
                </c:pt>
                <c:pt idx="17">
                  <c:v>9580</c:v>
                </c:pt>
                <c:pt idx="18">
                  <c:v>4740</c:v>
                </c:pt>
                <c:pt idx="19">
                  <c:v>7811</c:v>
                </c:pt>
                <c:pt idx="20">
                  <c:v>2967</c:v>
                </c:pt>
                <c:pt idx="21">
                  <c:v>8790</c:v>
                </c:pt>
                <c:pt idx="22">
                  <c:v>4668</c:v>
                </c:pt>
                <c:pt idx="23">
                  <c:v>1234</c:v>
                </c:pt>
                <c:pt idx="24">
                  <c:v>5313</c:v>
                </c:pt>
                <c:pt idx="25">
                  <c:v>7972</c:v>
                </c:pt>
                <c:pt idx="26">
                  <c:v>4575</c:v>
                </c:pt>
                <c:pt idx="27">
                  <c:v>1520</c:v>
                </c:pt>
                <c:pt idx="28">
                  <c:v>3223</c:v>
                </c:pt>
                <c:pt idx="29">
                  <c:v>4292</c:v>
                </c:pt>
                <c:pt idx="30">
                  <c:v>8580</c:v>
                </c:pt>
                <c:pt idx="31">
                  <c:v>9819</c:v>
                </c:pt>
                <c:pt idx="32">
                  <c:v>6622</c:v>
                </c:pt>
                <c:pt idx="33">
                  <c:v>9227</c:v>
                </c:pt>
                <c:pt idx="34">
                  <c:v>3280</c:v>
                </c:pt>
                <c:pt idx="35">
                  <c:v>7415</c:v>
                </c:pt>
                <c:pt idx="36">
                  <c:v>4516</c:v>
                </c:pt>
                <c:pt idx="37">
                  <c:v>9687</c:v>
                </c:pt>
                <c:pt idx="38">
                  <c:v>2653</c:v>
                </c:pt>
                <c:pt idx="39">
                  <c:v>8397</c:v>
                </c:pt>
                <c:pt idx="40">
                  <c:v>6805</c:v>
                </c:pt>
                <c:pt idx="41">
                  <c:v>1861</c:v>
                </c:pt>
                <c:pt idx="42">
                  <c:v>3851</c:v>
                </c:pt>
                <c:pt idx="43">
                  <c:v>5869</c:v>
                </c:pt>
                <c:pt idx="44">
                  <c:v>6795</c:v>
                </c:pt>
                <c:pt idx="45">
                  <c:v>3310</c:v>
                </c:pt>
                <c:pt idx="46">
                  <c:v>6358</c:v>
                </c:pt>
                <c:pt idx="47">
                  <c:v>6702</c:v>
                </c:pt>
                <c:pt idx="48">
                  <c:v>1626</c:v>
                </c:pt>
                <c:pt idx="49">
                  <c:v>4443</c:v>
                </c:pt>
                <c:pt idx="50">
                  <c:v>1921</c:v>
                </c:pt>
                <c:pt idx="51">
                  <c:v>6443</c:v>
                </c:pt>
                <c:pt idx="52">
                  <c:v>6456</c:v>
                </c:pt>
                <c:pt idx="53">
                  <c:v>1933</c:v>
                </c:pt>
                <c:pt idx="54">
                  <c:v>8740</c:v>
                </c:pt>
                <c:pt idx="55">
                  <c:v>2406</c:v>
                </c:pt>
                <c:pt idx="56">
                  <c:v>7888</c:v>
                </c:pt>
                <c:pt idx="57">
                  <c:v>9866</c:v>
                </c:pt>
                <c:pt idx="58">
                  <c:v>4081</c:v>
                </c:pt>
                <c:pt idx="59">
                  <c:v>1568</c:v>
                </c:pt>
                <c:pt idx="60">
                  <c:v>8739</c:v>
                </c:pt>
              </c:numCache>
            </c:numRef>
          </c:val>
        </c:ser>
        <c:gapWidth val="75"/>
        <c:overlap val="-25"/>
        <c:axId val="140371840"/>
        <c:axId val="140373376"/>
      </c:barChart>
      <c:dateAx>
        <c:axId val="140371840"/>
        <c:scaling>
          <c:orientation val="minMax"/>
        </c:scaling>
        <c:axPos val="b"/>
        <c:numFmt formatCode="m/d/yyyy" sourceLinked="1"/>
        <c:majorTickMark val="none"/>
        <c:tickLblPos val="nextTo"/>
        <c:crossAx val="140373376"/>
        <c:crosses val="autoZero"/>
        <c:auto val="1"/>
        <c:lblOffset val="100"/>
      </c:dateAx>
      <c:valAx>
        <c:axId val="14037337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140371840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[MSFT STOCK ANALYSIS.xlsx]Daily Return!PivotTable4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Return of stock in %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'Daily Return'!$B$3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'Daily Return'!$A$4:$A$65</c:f>
              <c:strCache>
                <c:ptCount val="61"/>
                <c:pt idx="0">
                  <c:v>4/1/2018</c:v>
                </c:pt>
                <c:pt idx="1">
                  <c:v>5/1/2018</c:v>
                </c:pt>
                <c:pt idx="2">
                  <c:v>6/1/2018</c:v>
                </c:pt>
                <c:pt idx="3">
                  <c:v>7/1/2018</c:v>
                </c:pt>
                <c:pt idx="4">
                  <c:v>8/1/2018</c:v>
                </c:pt>
                <c:pt idx="5">
                  <c:v>9/1/2018</c:v>
                </c:pt>
                <c:pt idx="6">
                  <c:v>10/1/2018</c:v>
                </c:pt>
                <c:pt idx="7">
                  <c:v>11/1/2018</c:v>
                </c:pt>
                <c:pt idx="8">
                  <c:v>12/1/2018</c:v>
                </c:pt>
                <c:pt idx="9">
                  <c:v>1/1/2019</c:v>
                </c:pt>
                <c:pt idx="10">
                  <c:v>2/1/2019</c:v>
                </c:pt>
                <c:pt idx="11">
                  <c:v>3/1/2019</c:v>
                </c:pt>
                <c:pt idx="12">
                  <c:v>4/1/2019</c:v>
                </c:pt>
                <c:pt idx="13">
                  <c:v>5/1/2019</c:v>
                </c:pt>
                <c:pt idx="14">
                  <c:v>6/1/2019</c:v>
                </c:pt>
                <c:pt idx="15">
                  <c:v>7/1/2019</c:v>
                </c:pt>
                <c:pt idx="16">
                  <c:v>8/1/2019</c:v>
                </c:pt>
                <c:pt idx="17">
                  <c:v>9/1/2019</c:v>
                </c:pt>
                <c:pt idx="18">
                  <c:v>10/1/2019</c:v>
                </c:pt>
                <c:pt idx="19">
                  <c:v>11/1/2019</c:v>
                </c:pt>
                <c:pt idx="20">
                  <c:v>12/1/2019</c:v>
                </c:pt>
                <c:pt idx="21">
                  <c:v>1/1/2020</c:v>
                </c:pt>
                <c:pt idx="22">
                  <c:v>2/1/2020</c:v>
                </c:pt>
                <c:pt idx="23">
                  <c:v>3/1/2020</c:v>
                </c:pt>
                <c:pt idx="24">
                  <c:v>4/1/2020</c:v>
                </c:pt>
                <c:pt idx="25">
                  <c:v>5/1/2020</c:v>
                </c:pt>
                <c:pt idx="26">
                  <c:v>6/1/2020</c:v>
                </c:pt>
                <c:pt idx="27">
                  <c:v>7/1/2020</c:v>
                </c:pt>
                <c:pt idx="28">
                  <c:v>8/1/2020</c:v>
                </c:pt>
                <c:pt idx="29">
                  <c:v>9/1/2020</c:v>
                </c:pt>
                <c:pt idx="30">
                  <c:v>10/1/2020</c:v>
                </c:pt>
                <c:pt idx="31">
                  <c:v>11/1/2020</c:v>
                </c:pt>
                <c:pt idx="32">
                  <c:v>12/1/2020</c:v>
                </c:pt>
                <c:pt idx="33">
                  <c:v>1/1/2021</c:v>
                </c:pt>
                <c:pt idx="34">
                  <c:v>2/1/2021</c:v>
                </c:pt>
                <c:pt idx="35">
                  <c:v>3/1/2021</c:v>
                </c:pt>
                <c:pt idx="36">
                  <c:v>4/1/2021</c:v>
                </c:pt>
                <c:pt idx="37">
                  <c:v>5/1/2021</c:v>
                </c:pt>
                <c:pt idx="38">
                  <c:v>6/1/2021</c:v>
                </c:pt>
                <c:pt idx="39">
                  <c:v>7/1/2021</c:v>
                </c:pt>
                <c:pt idx="40">
                  <c:v>8/1/2021</c:v>
                </c:pt>
                <c:pt idx="41">
                  <c:v>9/1/2021</c:v>
                </c:pt>
                <c:pt idx="42">
                  <c:v>10/1/2021</c:v>
                </c:pt>
                <c:pt idx="43">
                  <c:v>11/1/2021</c:v>
                </c:pt>
                <c:pt idx="44">
                  <c:v>12/1/2021</c:v>
                </c:pt>
                <c:pt idx="45">
                  <c:v>1/1/2022</c:v>
                </c:pt>
                <c:pt idx="46">
                  <c:v>2/1/2022</c:v>
                </c:pt>
                <c:pt idx="47">
                  <c:v>3/1/2022</c:v>
                </c:pt>
                <c:pt idx="48">
                  <c:v>4/1/2022</c:v>
                </c:pt>
                <c:pt idx="49">
                  <c:v>5/1/2022</c:v>
                </c:pt>
                <c:pt idx="50">
                  <c:v>6/1/2022</c:v>
                </c:pt>
                <c:pt idx="51">
                  <c:v>7/1/2022</c:v>
                </c:pt>
                <c:pt idx="52">
                  <c:v>8/1/2022</c:v>
                </c:pt>
                <c:pt idx="53">
                  <c:v>9/1/2022</c:v>
                </c:pt>
                <c:pt idx="54">
                  <c:v>10/1/2022</c:v>
                </c:pt>
                <c:pt idx="55">
                  <c:v>11/1/2022</c:v>
                </c:pt>
                <c:pt idx="56">
                  <c:v>12/1/2022</c:v>
                </c:pt>
                <c:pt idx="57">
                  <c:v>1/1/2023</c:v>
                </c:pt>
                <c:pt idx="58">
                  <c:v>2/1/2023</c:v>
                </c:pt>
                <c:pt idx="59">
                  <c:v>3/1/2023</c:v>
                </c:pt>
                <c:pt idx="60">
                  <c:v>3/17/2023</c:v>
                </c:pt>
              </c:strCache>
            </c:strRef>
          </c:cat>
          <c:val>
            <c:numRef>
              <c:f>'Daily Return'!$B$4:$B$65</c:f>
              <c:numCache>
                <c:formatCode>General</c:formatCode>
                <c:ptCount val="61"/>
                <c:pt idx="0">
                  <c:v>0.03</c:v>
                </c:pt>
                <c:pt idx="1">
                  <c:v>0.06</c:v>
                </c:pt>
                <c:pt idx="2">
                  <c:v>-0.01</c:v>
                </c:pt>
                <c:pt idx="3">
                  <c:v>0.08</c:v>
                </c:pt>
                <c:pt idx="4">
                  <c:v>0.06</c:v>
                </c:pt>
                <c:pt idx="5">
                  <c:v>0.03</c:v>
                </c:pt>
                <c:pt idx="6">
                  <c:v>-7.0000000000000007E-2</c:v>
                </c:pt>
                <c:pt idx="7">
                  <c:v>0.04</c:v>
                </c:pt>
                <c:pt idx="8">
                  <c:v>-0.1</c:v>
                </c:pt>
                <c:pt idx="9">
                  <c:v>0.05</c:v>
                </c:pt>
                <c:pt idx="10">
                  <c:v>0.08</c:v>
                </c:pt>
                <c:pt idx="11">
                  <c:v>0.04</c:v>
                </c:pt>
                <c:pt idx="12">
                  <c:v>0.1</c:v>
                </c:pt>
                <c:pt idx="13">
                  <c:v>-0.05</c:v>
                </c:pt>
                <c:pt idx="14">
                  <c:v>0.08</c:v>
                </c:pt>
                <c:pt idx="15">
                  <c:v>0</c:v>
                </c:pt>
                <c:pt idx="16">
                  <c:v>0.01</c:v>
                </c:pt>
                <c:pt idx="17">
                  <c:v>0.02</c:v>
                </c:pt>
                <c:pt idx="18">
                  <c:v>0.03</c:v>
                </c:pt>
                <c:pt idx="19">
                  <c:v>0.05</c:v>
                </c:pt>
                <c:pt idx="20">
                  <c:v>0.04</c:v>
                </c:pt>
                <c:pt idx="21">
                  <c:v>7.0000000000000007E-2</c:v>
                </c:pt>
                <c:pt idx="22">
                  <c:v>-0.05</c:v>
                </c:pt>
                <c:pt idx="23">
                  <c:v>-0.05</c:v>
                </c:pt>
                <c:pt idx="24">
                  <c:v>0.17</c:v>
                </c:pt>
                <c:pt idx="25">
                  <c:v>0.04</c:v>
                </c:pt>
                <c:pt idx="26">
                  <c:v>0.11</c:v>
                </c:pt>
                <c:pt idx="27">
                  <c:v>0.01</c:v>
                </c:pt>
                <c:pt idx="28">
                  <c:v>7.0000000000000007E-2</c:v>
                </c:pt>
                <c:pt idx="29">
                  <c:v>-7.0000000000000007E-2</c:v>
                </c:pt>
                <c:pt idx="30">
                  <c:v>-0.05</c:v>
                </c:pt>
                <c:pt idx="31">
                  <c:v>0.05</c:v>
                </c:pt>
                <c:pt idx="32">
                  <c:v>0.04</c:v>
                </c:pt>
                <c:pt idx="33">
                  <c:v>0.04</c:v>
                </c:pt>
                <c:pt idx="34">
                  <c:v>-0.01</c:v>
                </c:pt>
                <c:pt idx="35">
                  <c:v>0</c:v>
                </c:pt>
                <c:pt idx="36">
                  <c:v>0.06</c:v>
                </c:pt>
                <c:pt idx="37">
                  <c:v>-0.01</c:v>
                </c:pt>
                <c:pt idx="38">
                  <c:v>0.08</c:v>
                </c:pt>
                <c:pt idx="39">
                  <c:v>0.06</c:v>
                </c:pt>
                <c:pt idx="40">
                  <c:v>0.05</c:v>
                </c:pt>
                <c:pt idx="41">
                  <c:v>-7.0000000000000007E-2</c:v>
                </c:pt>
                <c:pt idx="42">
                  <c:v>0.18</c:v>
                </c:pt>
                <c:pt idx="43">
                  <c:v>0</c:v>
                </c:pt>
                <c:pt idx="44">
                  <c:v>0</c:v>
                </c:pt>
                <c:pt idx="45">
                  <c:v>-7.0000000000000007E-2</c:v>
                </c:pt>
                <c:pt idx="46">
                  <c:v>-0.04</c:v>
                </c:pt>
                <c:pt idx="47">
                  <c:v>0.04</c:v>
                </c:pt>
                <c:pt idx="48">
                  <c:v>-0.1</c:v>
                </c:pt>
                <c:pt idx="49">
                  <c:v>-0.02</c:v>
                </c:pt>
                <c:pt idx="50">
                  <c:v>-7.0000000000000007E-2</c:v>
                </c:pt>
                <c:pt idx="51">
                  <c:v>0.09</c:v>
                </c:pt>
                <c:pt idx="52">
                  <c:v>-0.06</c:v>
                </c:pt>
                <c:pt idx="53">
                  <c:v>-0.1</c:v>
                </c:pt>
                <c:pt idx="54">
                  <c:v>-0.01</c:v>
                </c:pt>
                <c:pt idx="55">
                  <c:v>0.09</c:v>
                </c:pt>
                <c:pt idx="56">
                  <c:v>-0.06</c:v>
                </c:pt>
                <c:pt idx="57">
                  <c:v>0.02</c:v>
                </c:pt>
                <c:pt idx="58">
                  <c:v>0.01</c:v>
                </c:pt>
                <c:pt idx="59">
                  <c:v>0.11</c:v>
                </c:pt>
                <c:pt idx="60">
                  <c:v>0</c:v>
                </c:pt>
              </c:numCache>
            </c:numRef>
          </c:val>
        </c:ser>
        <c:gapWidth val="75"/>
        <c:overlap val="-25"/>
        <c:axId val="136081408"/>
        <c:axId val="136082944"/>
      </c:barChart>
      <c:catAx>
        <c:axId val="136081408"/>
        <c:scaling>
          <c:orientation val="minMax"/>
        </c:scaling>
        <c:axPos val="b"/>
        <c:majorTickMark val="none"/>
        <c:tickLblPos val="nextTo"/>
        <c:crossAx val="136082944"/>
        <c:crosses val="autoZero"/>
        <c:auto val="1"/>
        <c:lblAlgn val="ctr"/>
        <c:lblOffset val="100"/>
      </c:catAx>
      <c:valAx>
        <c:axId val="13608294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136081408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 of trader</a:t>
            </a:r>
            <a:r>
              <a:rPr lang="en-US" baseline="0"/>
              <a:t> trades MISFT shares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Analysis!$B$1</c:f>
              <c:strCache>
                <c:ptCount val="1"/>
                <c:pt idx="0">
                  <c:v>No of trader</c:v>
                </c:pt>
              </c:strCache>
            </c:strRef>
          </c:tx>
          <c:cat>
            <c:numRef>
              <c:f>Analysis!$A$2:$A$62</c:f>
              <c:numCache>
                <c:formatCode>m/d/yyyy</c:formatCode>
                <c:ptCount val="61"/>
                <c:pt idx="0">
                  <c:v>43191</c:v>
                </c:pt>
                <c:pt idx="1">
                  <c:v>43221</c:v>
                </c:pt>
                <c:pt idx="2">
                  <c:v>43252</c:v>
                </c:pt>
                <c:pt idx="3">
                  <c:v>43282</c:v>
                </c:pt>
                <c:pt idx="4">
                  <c:v>43313</c:v>
                </c:pt>
                <c:pt idx="5">
                  <c:v>43344</c:v>
                </c:pt>
                <c:pt idx="6">
                  <c:v>43374</c:v>
                </c:pt>
                <c:pt idx="7">
                  <c:v>43405</c:v>
                </c:pt>
                <c:pt idx="8">
                  <c:v>43435</c:v>
                </c:pt>
                <c:pt idx="9">
                  <c:v>43466</c:v>
                </c:pt>
                <c:pt idx="10">
                  <c:v>43497</c:v>
                </c:pt>
                <c:pt idx="11">
                  <c:v>43525</c:v>
                </c:pt>
                <c:pt idx="12">
                  <c:v>43556</c:v>
                </c:pt>
                <c:pt idx="13">
                  <c:v>43586</c:v>
                </c:pt>
                <c:pt idx="14">
                  <c:v>43617</c:v>
                </c:pt>
                <c:pt idx="15">
                  <c:v>43647</c:v>
                </c:pt>
                <c:pt idx="16">
                  <c:v>43678</c:v>
                </c:pt>
                <c:pt idx="17">
                  <c:v>43709</c:v>
                </c:pt>
                <c:pt idx="18">
                  <c:v>43739</c:v>
                </c:pt>
                <c:pt idx="19">
                  <c:v>43770</c:v>
                </c:pt>
                <c:pt idx="20">
                  <c:v>43800</c:v>
                </c:pt>
                <c:pt idx="21">
                  <c:v>43831</c:v>
                </c:pt>
                <c:pt idx="22">
                  <c:v>43862</c:v>
                </c:pt>
                <c:pt idx="23">
                  <c:v>43891</c:v>
                </c:pt>
                <c:pt idx="24">
                  <c:v>43922</c:v>
                </c:pt>
                <c:pt idx="25">
                  <c:v>43952</c:v>
                </c:pt>
                <c:pt idx="26">
                  <c:v>43983</c:v>
                </c:pt>
                <c:pt idx="27">
                  <c:v>44013</c:v>
                </c:pt>
                <c:pt idx="28">
                  <c:v>44044</c:v>
                </c:pt>
                <c:pt idx="29">
                  <c:v>44075</c:v>
                </c:pt>
                <c:pt idx="30">
                  <c:v>44105</c:v>
                </c:pt>
                <c:pt idx="31">
                  <c:v>44136</c:v>
                </c:pt>
                <c:pt idx="32">
                  <c:v>44166</c:v>
                </c:pt>
                <c:pt idx="33">
                  <c:v>44197</c:v>
                </c:pt>
                <c:pt idx="34">
                  <c:v>44228</c:v>
                </c:pt>
                <c:pt idx="35">
                  <c:v>44256</c:v>
                </c:pt>
                <c:pt idx="36">
                  <c:v>44287</c:v>
                </c:pt>
                <c:pt idx="37">
                  <c:v>44317</c:v>
                </c:pt>
                <c:pt idx="38">
                  <c:v>44348</c:v>
                </c:pt>
                <c:pt idx="39">
                  <c:v>44378</c:v>
                </c:pt>
                <c:pt idx="40">
                  <c:v>44409</c:v>
                </c:pt>
                <c:pt idx="41">
                  <c:v>44440</c:v>
                </c:pt>
                <c:pt idx="42">
                  <c:v>44470</c:v>
                </c:pt>
                <c:pt idx="43">
                  <c:v>44501</c:v>
                </c:pt>
                <c:pt idx="44">
                  <c:v>44531</c:v>
                </c:pt>
                <c:pt idx="45">
                  <c:v>44562</c:v>
                </c:pt>
                <c:pt idx="46">
                  <c:v>44593</c:v>
                </c:pt>
                <c:pt idx="47">
                  <c:v>44621</c:v>
                </c:pt>
                <c:pt idx="48">
                  <c:v>44652</c:v>
                </c:pt>
                <c:pt idx="49">
                  <c:v>44682</c:v>
                </c:pt>
                <c:pt idx="50">
                  <c:v>44713</c:v>
                </c:pt>
                <c:pt idx="51">
                  <c:v>44743</c:v>
                </c:pt>
                <c:pt idx="52">
                  <c:v>44774</c:v>
                </c:pt>
                <c:pt idx="53">
                  <c:v>44805</c:v>
                </c:pt>
                <c:pt idx="54">
                  <c:v>44835</c:v>
                </c:pt>
                <c:pt idx="55">
                  <c:v>44866</c:v>
                </c:pt>
                <c:pt idx="56">
                  <c:v>44896</c:v>
                </c:pt>
                <c:pt idx="57">
                  <c:v>44927</c:v>
                </c:pt>
                <c:pt idx="58">
                  <c:v>44958</c:v>
                </c:pt>
                <c:pt idx="59">
                  <c:v>44986</c:v>
                </c:pt>
                <c:pt idx="60">
                  <c:v>45002</c:v>
                </c:pt>
              </c:numCache>
            </c:numRef>
          </c:cat>
          <c:val>
            <c:numRef>
              <c:f>Analysis!$B$2:$B$62</c:f>
              <c:numCache>
                <c:formatCode>General</c:formatCode>
                <c:ptCount val="61"/>
                <c:pt idx="0">
                  <c:v>4745</c:v>
                </c:pt>
                <c:pt idx="1">
                  <c:v>3074</c:v>
                </c:pt>
                <c:pt idx="2">
                  <c:v>2669</c:v>
                </c:pt>
                <c:pt idx="3">
                  <c:v>2655</c:v>
                </c:pt>
                <c:pt idx="4">
                  <c:v>2482</c:v>
                </c:pt>
                <c:pt idx="5">
                  <c:v>8264</c:v>
                </c:pt>
                <c:pt idx="6">
                  <c:v>6668</c:v>
                </c:pt>
                <c:pt idx="7">
                  <c:v>5404</c:v>
                </c:pt>
                <c:pt idx="8">
                  <c:v>9890</c:v>
                </c:pt>
                <c:pt idx="9">
                  <c:v>7793</c:v>
                </c:pt>
                <c:pt idx="10">
                  <c:v>7037</c:v>
                </c:pt>
                <c:pt idx="11">
                  <c:v>7050</c:v>
                </c:pt>
                <c:pt idx="12">
                  <c:v>8702</c:v>
                </c:pt>
                <c:pt idx="13">
                  <c:v>5967</c:v>
                </c:pt>
                <c:pt idx="14">
                  <c:v>7407</c:v>
                </c:pt>
                <c:pt idx="15">
                  <c:v>3529</c:v>
                </c:pt>
                <c:pt idx="16">
                  <c:v>8818</c:v>
                </c:pt>
                <c:pt idx="17">
                  <c:v>9580</c:v>
                </c:pt>
                <c:pt idx="18">
                  <c:v>4740</c:v>
                </c:pt>
                <c:pt idx="19">
                  <c:v>7811</c:v>
                </c:pt>
                <c:pt idx="20">
                  <c:v>2967</c:v>
                </c:pt>
                <c:pt idx="21">
                  <c:v>8790</c:v>
                </c:pt>
                <c:pt idx="22">
                  <c:v>4668</c:v>
                </c:pt>
                <c:pt idx="23">
                  <c:v>1234</c:v>
                </c:pt>
                <c:pt idx="24">
                  <c:v>5313</c:v>
                </c:pt>
                <c:pt idx="25">
                  <c:v>7972</c:v>
                </c:pt>
                <c:pt idx="26">
                  <c:v>4575</c:v>
                </c:pt>
                <c:pt idx="27">
                  <c:v>1520</c:v>
                </c:pt>
                <c:pt idx="28">
                  <c:v>3223</c:v>
                </c:pt>
                <c:pt idx="29">
                  <c:v>4292</c:v>
                </c:pt>
                <c:pt idx="30">
                  <c:v>8580</c:v>
                </c:pt>
                <c:pt idx="31">
                  <c:v>9819</c:v>
                </c:pt>
                <c:pt idx="32">
                  <c:v>6622</c:v>
                </c:pt>
                <c:pt idx="33">
                  <c:v>9227</c:v>
                </c:pt>
                <c:pt idx="34">
                  <c:v>3280</c:v>
                </c:pt>
                <c:pt idx="35">
                  <c:v>7415</c:v>
                </c:pt>
                <c:pt idx="36">
                  <c:v>4516</c:v>
                </c:pt>
                <c:pt idx="37">
                  <c:v>9687</c:v>
                </c:pt>
                <c:pt idx="38">
                  <c:v>2653</c:v>
                </c:pt>
                <c:pt idx="39">
                  <c:v>8397</c:v>
                </c:pt>
                <c:pt idx="40">
                  <c:v>6805</c:v>
                </c:pt>
                <c:pt idx="41">
                  <c:v>1861</c:v>
                </c:pt>
                <c:pt idx="42">
                  <c:v>3851</c:v>
                </c:pt>
                <c:pt idx="43">
                  <c:v>5869</c:v>
                </c:pt>
                <c:pt idx="44">
                  <c:v>6795</c:v>
                </c:pt>
                <c:pt idx="45">
                  <c:v>3310</c:v>
                </c:pt>
                <c:pt idx="46">
                  <c:v>6358</c:v>
                </c:pt>
                <c:pt idx="47">
                  <c:v>6702</c:v>
                </c:pt>
                <c:pt idx="48">
                  <c:v>1626</c:v>
                </c:pt>
                <c:pt idx="49">
                  <c:v>4443</c:v>
                </c:pt>
                <c:pt idx="50">
                  <c:v>1921</c:v>
                </c:pt>
                <c:pt idx="51">
                  <c:v>6443</c:v>
                </c:pt>
                <c:pt idx="52">
                  <c:v>6456</c:v>
                </c:pt>
                <c:pt idx="53">
                  <c:v>1933</c:v>
                </c:pt>
                <c:pt idx="54">
                  <c:v>8740</c:v>
                </c:pt>
                <c:pt idx="55">
                  <c:v>2406</c:v>
                </c:pt>
                <c:pt idx="56">
                  <c:v>7888</c:v>
                </c:pt>
                <c:pt idx="57">
                  <c:v>9866</c:v>
                </c:pt>
                <c:pt idx="58">
                  <c:v>4081</c:v>
                </c:pt>
                <c:pt idx="59">
                  <c:v>1568</c:v>
                </c:pt>
                <c:pt idx="60">
                  <c:v>8739</c:v>
                </c:pt>
              </c:numCache>
            </c:numRef>
          </c:val>
        </c:ser>
        <c:dLbls/>
        <c:gapWidth val="75"/>
        <c:overlap val="-25"/>
        <c:axId val="98396032"/>
        <c:axId val="98397568"/>
      </c:barChart>
      <c:dateAx>
        <c:axId val="98396032"/>
        <c:scaling>
          <c:orientation val="minMax"/>
        </c:scaling>
        <c:axPos val="b"/>
        <c:numFmt formatCode="m/d/yyyy" sourceLinked="1"/>
        <c:majorTickMark val="none"/>
        <c:tickLblPos val="nextTo"/>
        <c:crossAx val="98397568"/>
        <c:crosses val="autoZero"/>
        <c:auto val="1"/>
        <c:lblOffset val="100"/>
      </c:dateAx>
      <c:valAx>
        <c:axId val="9839756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98396032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114300</xdr:colOff>
      <xdr:row>3</xdr:row>
      <xdr:rowOff>45720</xdr:rowOff>
    </xdr:from>
    <xdr:ext cx="5920740" cy="468013"/>
    <xdr:sp macro="" textlink="">
      <xdr:nvSpPr>
        <xdr:cNvPr id="3" name="TextBox 2"/>
        <xdr:cNvSpPr txBox="1"/>
      </xdr:nvSpPr>
      <xdr:spPr>
        <a:xfrm>
          <a:off x="4381500" y="594360"/>
          <a:ext cx="592074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r>
            <a:rPr lang="en-US" sz="2400"/>
            <a:t>MSFT</a:t>
          </a:r>
          <a:r>
            <a:rPr lang="en-US" sz="2400" baseline="0"/>
            <a:t> STOCK PRICE OVER TIME</a:t>
          </a:r>
          <a:endParaRPr lang="en-US" sz="2400"/>
        </a:p>
      </xdr:txBody>
    </xdr:sp>
    <xdr:clientData/>
  </xdr:oneCellAnchor>
  <xdr:twoCellAnchor>
    <xdr:from>
      <xdr:col>6</xdr:col>
      <xdr:colOff>594360</xdr:colOff>
      <xdr:row>7</xdr:row>
      <xdr:rowOff>0</xdr:rowOff>
    </xdr:from>
    <xdr:to>
      <xdr:col>16</xdr:col>
      <xdr:colOff>601980</xdr:colOff>
      <xdr:row>24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598714</xdr:colOff>
      <xdr:row>27</xdr:row>
      <xdr:rowOff>149135</xdr:rowOff>
    </xdr:from>
    <xdr:to>
      <xdr:col>14</xdr:col>
      <xdr:colOff>11974</xdr:colOff>
      <xdr:row>57</xdr:row>
      <xdr:rowOff>141516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121920</xdr:rowOff>
    </xdr:to>
    <xdr:sp macro="" textlink="">
      <xdr:nvSpPr>
        <xdr:cNvPr id="1025" name="AutoShape 1" descr="data:image/png;base64,iVBORw0KGgoAAAANSUhEUgAAAPkAAABzCAYAAABaZKQuAAAEJklEQVR4AezUQW7UQBBA0SjnhQWs4ATs2HBgSCJNFpassXG7uqr6IUWQZMbV/Wo+r1++/fjri4HPQN/PwOvL258/v3+9+GLgM9DvM/CW98tH5O//8EWAQE8Bkffcq1sR+BSIjPxzqH8QIBAnIPI4a5MITBEQ+RR2QwnECYg8ztokAlMEukY+BdNQAhkFRJ5xK85EYKCAyAdiehSBjAIiz7gVZyIwUEDk1zE9gUBqAZGnXo/DEbguIPLrhp5AILWAyFOvx+EIXBcQ+XXDyCeYReC0gMhPk3kDgVoCIq+1L6clcFpA5KfJvIFALQGR19pX5GnNaiIg8iaLdA0CewIi35PxcwJNBETeZJGuQWBPQOR7Mn4eKWDWjQIivxHXowlkEBB5hi04A4EbBUR+I65HE8ggIPIMW3CGSIHlZol8uZW78GoCIl9t4+67nIDIl1u5C68mIPLVNu6+kQIpZok8xRocgsB9AiK/z9aTCaQQEHmKNTgEgfsERH6frScTiBTYnSXyXRq/INBDQOQ99ugWBHYFRL5L4xcEegiIvMce3YLArsANke/O8gsCBCYIiHwCupEEIgVEHqltFoEJAiKfgG4kgUiB4pFHUplFoKaAyGvuzakJHBYQ+WEqLyRQU0DkNffm1AQOC4j8MJUXEqgpIPKae3NqAocFRH6YygsJ1BQQec29OTWBwwIiP0wV+UKzCIwTEPk4S08ikFJA5CnX4lAExgmIfJylJxFIKSDylGuJPJRZ3QVE3n3D7re8gMiX/wgA6C4g8u4bdr/lBUS+/EcgEsCsGQIin6FuJoFAAZEHYhtFYIaAyGeom0kgUEDkgdhGRQqY9RAQ+UPC3wSaCoi86WJdi8BDQOQPCX8TaCog8qaLda1IgdyzRJ57P05H4LKAyC8TegCB3AIiz70fpyNwWUDklwk9gECkwPlZIj9v5h0ESgmIvNS6HJbAeQGRnzfzDgKlBEReal0OS+C8wP9Hfn6WdxAgMEFA5BPQjSQQKSDySG2zCEwQEPkEdCMJRArUiDxSxCwCzQRE3myhrkNgKyDyrYjvCTQTEHmzhboOga2AyLcivifQTEDkzRbqOgS2AiLfivieQDMBkTdbqOsQ2AqIfCsS+b1ZBAIERB6AbASBmQIin6lvNoEAAZEHIBtBYKaAyGfqR842a1kBkS+7ehdfRUDkq2zaPZcVEPmyq3fxVQREvsqmI+9pVioBkadah8MQGC8g8vGmnkgglYDIU63DYQiMFxD5eFNPjBQw66mAyJ8SeQGB2gIir70/pyfwVEDkT4m8gEBtAZHX3p/TRwoUnSXyootzbAJHBUR+VMrrCBQVEHnRxTk2gaMCIj8q5XUEIgUGzhL5QEyPIpBRQOQZt+JMBAYKiHwgpkcRyCjwEfnX7z9ffDHwGej3GXj/T+cfAAAA//9uLtVEAAAABklEQVQDADreKeajzLM3AAAAAElFTkSuQmCC"/>
        <xdr:cNvSpPr>
          <a:spLocks noChangeAspect="1" noChangeArrowheads="1"/>
        </xdr:cNvSpPr>
      </xdr:nvSpPr>
      <xdr:spPr bwMode="auto">
        <a:xfrm>
          <a:off x="1219200" y="2560320"/>
          <a:ext cx="304800" cy="304800"/>
        </a:xfrm>
        <a:prstGeom prst="rect">
          <a:avLst/>
        </a:prstGeom>
        <a:noFill/>
      </xdr:spPr>
    </xdr:sp>
    <xdr:clientData/>
  </xdr:twoCellAnchor>
  <xdr:oneCellAnchor>
    <xdr:from>
      <xdr:col>11</xdr:col>
      <xdr:colOff>587829</xdr:colOff>
      <xdr:row>1</xdr:row>
      <xdr:rowOff>261257</xdr:rowOff>
    </xdr:from>
    <xdr:ext cx="184731" cy="264560"/>
    <xdr:sp macro="" textlink="">
      <xdr:nvSpPr>
        <xdr:cNvPr id="7" name="TextBox 6"/>
        <xdr:cNvSpPr txBox="1"/>
      </xdr:nvSpPr>
      <xdr:spPr>
        <a:xfrm>
          <a:off x="7293429" y="446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446314</xdr:colOff>
      <xdr:row>13</xdr:row>
      <xdr:rowOff>76201</xdr:rowOff>
    </xdr:from>
    <xdr:ext cx="2013857" cy="923350"/>
    <xdr:sp macro="" textlink="">
      <xdr:nvSpPr>
        <xdr:cNvPr id="8" name="TextBox 7"/>
        <xdr:cNvSpPr txBox="1"/>
      </xdr:nvSpPr>
      <xdr:spPr>
        <a:xfrm>
          <a:off x="11419114" y="2721430"/>
          <a:ext cx="2013857" cy="923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4000" b="1">
              <a:solidFill>
                <a:schemeClr val="tx1"/>
              </a:solidFill>
            </a:rPr>
            <a:t>+112%</a:t>
          </a:r>
        </a:p>
        <a:p>
          <a:endParaRPr lang="en-US" sz="1100"/>
        </a:p>
      </xdr:txBody>
    </xdr:sp>
    <xdr:clientData/>
  </xdr:oneCellAnchor>
  <xdr:oneCellAnchor>
    <xdr:from>
      <xdr:col>18</xdr:col>
      <xdr:colOff>250370</xdr:colOff>
      <xdr:row>9</xdr:row>
      <xdr:rowOff>97971</xdr:rowOff>
    </xdr:from>
    <xdr:ext cx="2188029" cy="640240"/>
    <xdr:sp macro="" textlink="">
      <xdr:nvSpPr>
        <xdr:cNvPr id="9" name="TextBox 8"/>
        <xdr:cNvSpPr txBox="1"/>
      </xdr:nvSpPr>
      <xdr:spPr>
        <a:xfrm>
          <a:off x="11223170" y="2002971"/>
          <a:ext cx="2188029" cy="640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2400"/>
            <a:t>MSFT</a:t>
          </a:r>
          <a:r>
            <a:rPr lang="en-US" sz="2400" baseline="0"/>
            <a:t> 4 YEARS</a:t>
          </a:r>
        </a:p>
        <a:p>
          <a:r>
            <a:rPr lang="en-US" sz="1100" b="1" baseline="0"/>
            <a:t>             Total return</a:t>
          </a:r>
          <a:endParaRPr lang="en-US" sz="1100" b="1"/>
        </a:p>
      </xdr:txBody>
    </xdr:sp>
    <xdr:clientData/>
  </xdr:oneCellAnchor>
  <xdr:twoCellAnchor>
    <xdr:from>
      <xdr:col>15</xdr:col>
      <xdr:colOff>315686</xdr:colOff>
      <xdr:row>29</xdr:row>
      <xdr:rowOff>185056</xdr:rowOff>
    </xdr:from>
    <xdr:to>
      <xdr:col>23</xdr:col>
      <xdr:colOff>10886</xdr:colOff>
      <xdr:row>44</xdr:row>
      <xdr:rowOff>152399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3</xdr:row>
      <xdr:rowOff>60960</xdr:rowOff>
    </xdr:from>
    <xdr:to>
      <xdr:col>16</xdr:col>
      <xdr:colOff>304800</xdr:colOff>
      <xdr:row>33</xdr:row>
      <xdr:rowOff>53340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312420</xdr:colOff>
      <xdr:row>8</xdr:row>
      <xdr:rowOff>106680</xdr:rowOff>
    </xdr:from>
    <xdr:to>
      <xdr:col>15</xdr:col>
      <xdr:colOff>7620</xdr:colOff>
      <xdr:row>23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ashwat Sharma" refreshedDate="46189.617166782409" createdVersion="3" refreshedVersion="3" minRefreshableVersion="3" recordCount="61">
  <cacheSource type="worksheet">
    <worksheetSource ref="A1:K62" sheet="Data"/>
  </cacheSource>
  <cacheFields count="11">
    <cacheField name="Date" numFmtId="14">
      <sharedItems containsSemiMixedTypes="0" containsNonDate="0" containsDate="1" containsString="0" minDate="2018-04-01T00:00:00" maxDate="2023-03-18T00:00:00" count="61"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3-17T00:00:00"/>
      </sharedItems>
    </cacheField>
    <cacheField name="Day" numFmtId="14">
      <sharedItems count="7">
        <s v="Thursday"/>
        <s v="Friday"/>
        <s v="Saturday"/>
        <s v="Sunday"/>
        <s v="Monday"/>
        <s v="Tuesday"/>
        <s v="Wednesday"/>
      </sharedItems>
    </cacheField>
    <cacheField name="Month" numFmtId="14">
      <sharedItems count="1">
        <s v="January"/>
      </sharedItems>
    </cacheField>
    <cacheField name="Open" numFmtId="0">
      <sharedItems containsSemiMixedTypes="0" containsString="0" containsNumber="1" minValue="90.47" maxValue="335.35"/>
    </cacheField>
    <cacheField name="High" numFmtId="0">
      <sharedItems containsSemiMixedTypes="0" containsString="0" containsNumber="1" minValue="97.9" maxValue="349.67"/>
    </cacheField>
    <cacheField name="Low" numFmtId="0">
      <sharedItems containsSemiMixedTypes="0" containsString="0" containsNumber="1" minValue="87.51" maxValue="326.37"/>
    </cacheField>
    <cacheField name="Close" numFmtId="0">
      <sharedItems containsSemiMixedTypes="0" containsString="0" containsNumber="1" minValue="93.52" maxValue="336.32"/>
    </cacheField>
    <cacheField name="Adj Close" numFmtId="0">
      <sharedItems containsSemiMixedTypes="0" containsString="0" containsNumber="1" minValue="88.26" maxValue="332.37"/>
    </cacheField>
    <cacheField name="Volume" numFmtId="0">
      <sharedItems containsSemiMixedTypes="0" containsString="0" containsNumber="1" containsInteger="1" minValue="69527371" maxValue="1612695500"/>
    </cacheField>
    <cacheField name="return" numFmtId="0">
      <sharedItems containsSemiMixedTypes="0" containsString="0" containsNumber="1" minValue="-0.1" maxValue="0.18"/>
    </cacheField>
    <cacheField name="No of trader" numFmtId="0">
      <sharedItems containsSemiMixedTypes="0" containsString="0" containsNumber="1" containsInteger="1" minValue="1449" maxValue="988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">
  <r>
    <x v="0"/>
    <x v="0"/>
    <x v="0"/>
    <n v="90.47"/>
    <n v="97.9"/>
    <n v="87.51"/>
    <n v="93.52"/>
    <n v="88.26"/>
    <n v="668130700"/>
    <n v="0.03"/>
    <n v="4681"/>
  </r>
  <r>
    <x v="1"/>
    <x v="1"/>
    <x v="0"/>
    <n v="93.21"/>
    <n v="99.99"/>
    <n v="92.45"/>
    <n v="98.84"/>
    <n v="93.28"/>
    <n v="509417900"/>
    <n v="0.06"/>
    <n v="6728"/>
  </r>
  <r>
    <x v="2"/>
    <x v="2"/>
    <x v="0"/>
    <n v="99.28"/>
    <n v="102.69"/>
    <n v="97.26"/>
    <n v="98.61"/>
    <n v="93.47"/>
    <n v="602585200"/>
    <n v="-0.01"/>
    <n v="5773"/>
  </r>
  <r>
    <x v="3"/>
    <x v="3"/>
    <x v="0"/>
    <n v="98.1"/>
    <n v="111.15"/>
    <n v="98"/>
    <n v="106.08"/>
    <n v="100.55"/>
    <n v="569352300"/>
    <n v="0.08"/>
    <n v="2993"/>
  </r>
  <r>
    <x v="4"/>
    <x v="4"/>
    <x v="0"/>
    <n v="106.03"/>
    <n v="112.78"/>
    <n v="104.84"/>
    <n v="112.33"/>
    <n v="106.47"/>
    <n v="456628100"/>
    <n v="0.06"/>
    <n v="2405"/>
  </r>
  <r>
    <x v="5"/>
    <x v="5"/>
    <x v="0"/>
    <n v="110.85"/>
    <n v="115.29"/>
    <n v="107.23"/>
    <n v="114.37"/>
    <n v="108.82"/>
    <n v="480255500"/>
    <n v="0.03"/>
    <n v="4450"/>
  </r>
  <r>
    <x v="6"/>
    <x v="6"/>
    <x v="0"/>
    <n v="114.75"/>
    <n v="116.18"/>
    <n v="100.11"/>
    <n v="106.81"/>
    <n v="101.63"/>
    <n v="927548000"/>
    <n v="-7.0000000000000007E-2"/>
    <n v="7964"/>
  </r>
  <r>
    <x v="7"/>
    <x v="0"/>
    <x v="0"/>
    <n v="107.05"/>
    <n v="112.24"/>
    <n v="99.35"/>
    <n v="110.89"/>
    <n v="105.51"/>
    <n v="720228600"/>
    <n v="0.04"/>
    <n v="6756"/>
  </r>
  <r>
    <x v="8"/>
    <x v="1"/>
    <x v="0"/>
    <n v="113"/>
    <n v="113.42"/>
    <n v="93.96"/>
    <n v="101.57"/>
    <n v="97.06"/>
    <n v="944314600"/>
    <n v="-0.1"/>
    <n v="8018"/>
  </r>
  <r>
    <x v="9"/>
    <x v="2"/>
    <x v="0"/>
    <n v="99.55"/>
    <n v="107.9"/>
    <n v="97.2"/>
    <n v="104.43"/>
    <n v="99.8"/>
    <n v="714212800"/>
    <n v="0.05"/>
    <n v="4665"/>
  </r>
  <r>
    <x v="10"/>
    <x v="3"/>
    <x v="0"/>
    <n v="103.78"/>
    <n v="113.24"/>
    <n v="102.35"/>
    <n v="112.03"/>
    <n v="107.06"/>
    <n v="469095900"/>
    <n v="0.08"/>
    <n v="6873"/>
  </r>
  <r>
    <x v="11"/>
    <x v="4"/>
    <x v="0"/>
    <n v="112.89"/>
    <n v="120.82"/>
    <n v="108.8"/>
    <n v="117.94"/>
    <n v="113.19"/>
    <n v="589095800"/>
    <n v="0.04"/>
    <n v="4080"/>
  </r>
  <r>
    <x v="12"/>
    <x v="5"/>
    <x v="0"/>
    <n v="118.95"/>
    <n v="131.37"/>
    <n v="118.1"/>
    <n v="130.6"/>
    <n v="125.34"/>
    <n v="433157700"/>
    <n v="0.1"/>
    <n v="5832"/>
  </r>
  <r>
    <x v="13"/>
    <x v="6"/>
    <x v="0"/>
    <n v="130.53"/>
    <n v="130.65"/>
    <n v="123.04"/>
    <n v="123.68"/>
    <n v="118.7"/>
    <n v="547218800"/>
    <n v="-0.05"/>
    <n v="5910"/>
  </r>
  <r>
    <x v="14"/>
    <x v="0"/>
    <x v="0"/>
    <n v="123.85"/>
    <n v="138.4"/>
    <n v="119.01"/>
    <n v="133.96"/>
    <n v="129.04"/>
    <n v="508324300"/>
    <n v="0.08"/>
    <n v="7888"/>
  </r>
  <r>
    <x v="15"/>
    <x v="1"/>
    <x v="0"/>
    <n v="136.63"/>
    <n v="141.68"/>
    <n v="134.66999999999999"/>
    <n v="136.27000000000001"/>
    <n v="131.26"/>
    <n v="484079900"/>
    <n v="0"/>
    <n v="5311"/>
  </r>
  <r>
    <x v="16"/>
    <x v="2"/>
    <x v="0"/>
    <n v="137"/>
    <n v="140.94"/>
    <n v="130.78"/>
    <n v="137.86000000000001"/>
    <n v="132.79"/>
    <n v="584482000"/>
    <n v="0.01"/>
    <n v="8901"/>
  </r>
  <r>
    <x v="17"/>
    <x v="3"/>
    <x v="0"/>
    <n v="136.61000000000001"/>
    <n v="142.37"/>
    <n v="134.51"/>
    <n v="139.03"/>
    <n v="134.37"/>
    <n v="472544800"/>
    <n v="0.02"/>
    <n v="2340"/>
  </r>
  <r>
    <x v="18"/>
    <x v="4"/>
    <x v="0"/>
    <n v="139.66"/>
    <n v="145.66999999999999"/>
    <n v="133.22"/>
    <n v="143.37"/>
    <n v="138.56"/>
    <n v="549523400"/>
    <n v="0.03"/>
    <n v="8871"/>
  </r>
  <r>
    <x v="19"/>
    <x v="5"/>
    <x v="0"/>
    <n v="144.26"/>
    <n v="152.5"/>
    <n v="142.97"/>
    <n v="151.38"/>
    <n v="146.30000000000001"/>
    <n v="392371800"/>
    <n v="0.05"/>
    <n v="1561"/>
  </r>
  <r>
    <x v="20"/>
    <x v="6"/>
    <x v="0"/>
    <n v="151.81"/>
    <n v="159.55000000000001"/>
    <n v="146.65"/>
    <n v="157.69999999999999"/>
    <n v="152.93"/>
    <n v="450303300"/>
    <n v="0.04"/>
    <n v="8528"/>
  </r>
  <r>
    <x v="21"/>
    <x v="0"/>
    <x v="0"/>
    <n v="158.78"/>
    <n v="174.05"/>
    <n v="156.51"/>
    <n v="170.23"/>
    <n v="165.08"/>
    <n v="558530000"/>
    <n v="7.0000000000000007E-2"/>
    <n v="8092"/>
  </r>
  <r>
    <x v="22"/>
    <x v="1"/>
    <x v="0"/>
    <n v="170.43"/>
    <n v="190.7"/>
    <n v="152"/>
    <n v="162.01"/>
    <n v="157.11000000000001"/>
    <n v="887522300"/>
    <n v="-0.05"/>
    <n v="1449"/>
  </r>
  <r>
    <x v="23"/>
    <x v="2"/>
    <x v="0"/>
    <n v="165.31"/>
    <n v="175"/>
    <n v="132.52000000000001"/>
    <n v="157.71"/>
    <n v="153.36000000000001"/>
    <n v="1612695500"/>
    <n v="-0.05"/>
    <n v="5530"/>
  </r>
  <r>
    <x v="24"/>
    <x v="3"/>
    <x v="0"/>
    <n v="153"/>
    <n v="180.4"/>
    <n v="150.36000000000001"/>
    <n v="179.21"/>
    <n v="174.26"/>
    <n v="984705000"/>
    <n v="0.17"/>
    <n v="9052"/>
  </r>
  <r>
    <x v="25"/>
    <x v="4"/>
    <x v="0"/>
    <n v="175.8"/>
    <n v="187.51"/>
    <n v="173.8"/>
    <n v="183.25"/>
    <n v="178.19"/>
    <n v="688845000"/>
    <n v="0.04"/>
    <n v="1978"/>
  </r>
  <r>
    <x v="26"/>
    <x v="5"/>
    <x v="0"/>
    <n v="182.54"/>
    <n v="204.4"/>
    <n v="181.35"/>
    <n v="203.51"/>
    <n v="198.44"/>
    <n v="764965400"/>
    <n v="0.11"/>
    <n v="7411"/>
  </r>
  <r>
    <x v="27"/>
    <x v="6"/>
    <x v="0"/>
    <n v="203.14"/>
    <n v="216.38"/>
    <n v="197.51"/>
    <n v="205.01"/>
    <n v="199.91"/>
    <n v="770190800"/>
    <n v="0.01"/>
    <n v="7399"/>
  </r>
  <r>
    <x v="28"/>
    <x v="0"/>
    <x v="0"/>
    <n v="211.52"/>
    <n v="231.15"/>
    <n v="203.14"/>
    <n v="225.53"/>
    <n v="219.92"/>
    <n v="692423900"/>
    <n v="7.0000000000000007E-2"/>
    <n v="5573"/>
  </r>
  <r>
    <x v="29"/>
    <x v="1"/>
    <x v="0"/>
    <n v="225.51"/>
    <n v="232.86"/>
    <n v="196.25"/>
    <n v="210.33"/>
    <n v="205.59"/>
    <n v="768176300"/>
    <n v="-7.0000000000000007E-2"/>
    <n v="4409"/>
  </r>
  <r>
    <x v="30"/>
    <x v="2"/>
    <x v="0"/>
    <n v="213.49"/>
    <n v="225.21"/>
    <n v="199.62"/>
    <n v="202.47"/>
    <n v="197.91"/>
    <n v="631618000"/>
    <n v="-0.05"/>
    <n v="1572"/>
  </r>
  <r>
    <x v="31"/>
    <x v="3"/>
    <x v="0"/>
    <n v="204.29"/>
    <n v="228.12"/>
    <n v="200.12"/>
    <n v="214.07"/>
    <n v="209.25"/>
    <n v="573443000"/>
    <n v="0.05"/>
    <n v="2605"/>
  </r>
  <r>
    <x v="32"/>
    <x v="4"/>
    <x v="0"/>
    <n v="214.51"/>
    <n v="227.18"/>
    <n v="209.11"/>
    <n v="222.42"/>
    <n v="217.98"/>
    <n v="594761700"/>
    <n v="0.04"/>
    <n v="9358"/>
  </r>
  <r>
    <x v="33"/>
    <x v="5"/>
    <x v="0"/>
    <n v="222.53"/>
    <n v="242.64"/>
    <n v="211.94"/>
    <n v="231.96"/>
    <n v="227.33"/>
    <n v="648076400"/>
    <n v="0.04"/>
    <n v="9658"/>
  </r>
  <r>
    <x v="34"/>
    <x v="6"/>
    <x v="0"/>
    <n v="235.06"/>
    <n v="246.13"/>
    <n v="227.88"/>
    <n v="232.38"/>
    <n v="227.74"/>
    <n v="490962200"/>
    <n v="-0.01"/>
    <n v="5803"/>
  </r>
  <r>
    <x v="35"/>
    <x v="0"/>
    <x v="0"/>
    <n v="235.9"/>
    <n v="241.05"/>
    <n v="224.26"/>
    <n v="235.77"/>
    <n v="231.59"/>
    <n v="724945800"/>
    <n v="0"/>
    <n v="2768"/>
  </r>
  <r>
    <x v="36"/>
    <x v="1"/>
    <x v="0"/>
    <n v="238.47"/>
    <n v="263.19"/>
    <n v="238.05"/>
    <n v="252.18"/>
    <n v="247.71"/>
    <n v="568661600"/>
    <n v="0.06"/>
    <n v="8326"/>
  </r>
  <r>
    <x v="37"/>
    <x v="2"/>
    <x v="0"/>
    <n v="253.4"/>
    <n v="254.35"/>
    <n v="238.07"/>
    <n v="249.68"/>
    <n v="245.26"/>
    <n v="495084900"/>
    <n v="-0.01"/>
    <n v="4237"/>
  </r>
  <r>
    <x v="38"/>
    <x v="3"/>
    <x v="0"/>
    <n v="251.23"/>
    <n v="271.64999999999998"/>
    <n v="243"/>
    <n v="270.89999999999998"/>
    <n v="266.72000000000003"/>
    <n v="508572200"/>
    <n v="0.08"/>
    <n v="3690"/>
  </r>
  <r>
    <x v="39"/>
    <x v="4"/>
    <x v="0"/>
    <n v="269.61"/>
    <n v="290.14999999999998"/>
    <n v="269.60000000000002"/>
    <n v="284.91000000000003"/>
    <n v="280.51"/>
    <n v="522672700"/>
    <n v="0.06"/>
    <n v="9886"/>
  </r>
  <r>
    <x v="40"/>
    <x v="5"/>
    <x v="0"/>
    <n v="286.36"/>
    <n v="305.83999999999997"/>
    <n v="283.74"/>
    <n v="301.88"/>
    <n v="297.22000000000003"/>
    <n v="441308900"/>
    <n v="0.05"/>
    <n v="5322"/>
  </r>
  <r>
    <x v="41"/>
    <x v="6"/>
    <x v="0"/>
    <n v="302.87"/>
    <n v="305.32"/>
    <n v="281.62"/>
    <n v="281.92"/>
    <n v="278.10000000000002"/>
    <n v="502918700"/>
    <n v="-7.0000000000000007E-2"/>
    <n v="5355"/>
  </r>
  <r>
    <x v="42"/>
    <x v="0"/>
    <x v="0"/>
    <n v="282.12"/>
    <n v="332"/>
    <n v="280.25"/>
    <n v="331.62"/>
    <n v="327.12"/>
    <n v="516515800"/>
    <n v="0.18"/>
    <n v="4235"/>
  </r>
  <r>
    <x v="43"/>
    <x v="1"/>
    <x v="0"/>
    <n v="331.36"/>
    <n v="349.67"/>
    <n v="326.37"/>
    <n v="330.59"/>
    <n v="326.11"/>
    <n v="509885200"/>
    <n v="0"/>
    <n v="7304"/>
  </r>
  <r>
    <x v="44"/>
    <x v="2"/>
    <x v="0"/>
    <n v="335.13"/>
    <n v="344.3"/>
    <n v="317.25"/>
    <n v="336.32"/>
    <n v="332.37"/>
    <n v="625674800"/>
    <n v="0"/>
    <n v="1948"/>
  </r>
  <r>
    <x v="45"/>
    <x v="3"/>
    <x v="0"/>
    <n v="335.35"/>
    <n v="338"/>
    <n v="276.05"/>
    <n v="310.98"/>
    <n v="307.32"/>
    <n v="947531400"/>
    <n v="-7.0000000000000007E-2"/>
    <n v="4765"/>
  </r>
  <r>
    <x v="46"/>
    <x v="4"/>
    <x v="0"/>
    <n v="310.41000000000003"/>
    <n v="315.12"/>
    <n v="271.52"/>
    <n v="298.79000000000002"/>
    <n v="295.27999999999997"/>
    <n v="697050600"/>
    <n v="-0.04"/>
    <n v="2346"/>
  </r>
  <r>
    <x v="47"/>
    <x v="5"/>
    <x v="0"/>
    <n v="296.39999999999998"/>
    <n v="315.95"/>
    <n v="270"/>
    <n v="308.31"/>
    <n v="305.31"/>
    <n v="734334200"/>
    <n v="0.04"/>
    <n v="2094"/>
  </r>
  <r>
    <x v="48"/>
    <x v="6"/>
    <x v="0"/>
    <n v="309.37"/>
    <n v="315.11"/>
    <n v="270"/>
    <n v="277.52"/>
    <n v="274.82"/>
    <n v="627343400"/>
    <n v="-0.1"/>
    <n v="1799"/>
  </r>
  <r>
    <x v="49"/>
    <x v="0"/>
    <x v="0"/>
    <n v="277.70999999999998"/>
    <n v="290.88"/>
    <n v="246.44"/>
    <n v="271.87"/>
    <n v="269.23"/>
    <n v="742902000"/>
    <n v="-0.02"/>
    <n v="8155"/>
  </r>
  <r>
    <x v="50"/>
    <x v="1"/>
    <x v="0"/>
    <n v="275.2"/>
    <n v="277.69"/>
    <n v="241.51"/>
    <n v="256.83"/>
    <n v="254.93"/>
    <n v="621372300"/>
    <n v="-7.0000000000000007E-2"/>
    <n v="3338"/>
  </r>
  <r>
    <x v="51"/>
    <x v="2"/>
    <x v="0"/>
    <n v="256.39"/>
    <n v="282"/>
    <n v="245.94"/>
    <n v="280.74"/>
    <n v="278.66000000000003"/>
    <n v="534891800"/>
    <n v="0.09"/>
    <n v="8656"/>
  </r>
  <r>
    <x v="52"/>
    <x v="3"/>
    <x v="0"/>
    <n v="277.82"/>
    <n v="294.18"/>
    <n v="260.66000000000003"/>
    <n v="261.47000000000003"/>
    <n v="259.52999999999997"/>
    <n v="477157600"/>
    <n v="-0.06"/>
    <n v="6471"/>
  </r>
  <r>
    <x v="53"/>
    <x v="4"/>
    <x v="0"/>
    <n v="258.87"/>
    <n v="267.45"/>
    <n v="232.73"/>
    <n v="232.9"/>
    <n v="231.67"/>
    <n v="575586600"/>
    <n v="-0.1"/>
    <n v="1541"/>
  </r>
  <r>
    <x v="54"/>
    <x v="5"/>
    <x v="0"/>
    <n v="235.41"/>
    <n v="251.04"/>
    <n v="219.13"/>
    <n v="232.13"/>
    <n v="230.9"/>
    <n v="671225100"/>
    <n v="-0.01"/>
    <n v="3466"/>
  </r>
  <r>
    <x v="55"/>
    <x v="6"/>
    <x v="0"/>
    <n v="234.6"/>
    <n v="255.33"/>
    <n v="213.43"/>
    <n v="255.14"/>
    <n v="253.79"/>
    <n v="615296000"/>
    <n v="0.09"/>
    <n v="5845"/>
  </r>
  <r>
    <x v="56"/>
    <x v="0"/>
    <x v="0"/>
    <n v="253.87"/>
    <n v="263.92"/>
    <n v="233.87"/>
    <n v="239.82"/>
    <n v="239.22"/>
    <n v="591358700"/>
    <n v="-0.06"/>
    <n v="3850"/>
  </r>
  <r>
    <x v="57"/>
    <x v="1"/>
    <x v="0"/>
    <n v="243.08"/>
    <n v="249.83"/>
    <n v="219.35"/>
    <n v="247.81"/>
    <n v="247.19"/>
    <n v="666168100"/>
    <n v="0.02"/>
    <n v="9806"/>
  </r>
  <r>
    <x v="58"/>
    <x v="2"/>
    <x v="0"/>
    <n v="248"/>
    <n v="276.76"/>
    <n v="245.47"/>
    <n v="249.42"/>
    <n v="248.8"/>
    <n v="615501000"/>
    <n v="0.01"/>
    <n v="9204"/>
  </r>
  <r>
    <x v="59"/>
    <x v="3"/>
    <x v="0"/>
    <n v="250.76"/>
    <n v="283.33"/>
    <n v="245.61"/>
    <n v="279.43"/>
    <n v="279.43"/>
    <n v="438325500"/>
    <n v="0.11"/>
    <n v="9082"/>
  </r>
  <r>
    <x v="60"/>
    <x v="4"/>
    <x v="0"/>
    <n v="278.26"/>
    <n v="283.33"/>
    <n v="276.32"/>
    <n v="279.43"/>
    <n v="279.43"/>
    <n v="69527371"/>
    <n v="0"/>
    <n v="84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65" firstHeaderRow="1" firstDataRow="1" firstDataCol="1"/>
  <pivotFields count="11">
    <pivotField axis="axisRow" numFmtId="14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>
      <items count="8">
        <item x="3"/>
        <item x="4"/>
        <item x="5"/>
        <item x="6"/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Sum of return" fld="9" baseField="0" baseItem="0"/>
  </dataFields>
  <formats count="1">
    <format dxfId="0">
      <pivotArea type="all" dataOnly="0" outline="0" fieldPosition="0"/>
    </format>
  </formats>
  <chartFormats count="3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65"/>
  <sheetViews>
    <sheetView topLeftCell="A4" zoomScale="70" zoomScaleNormal="70" workbookViewId="0">
      <selection activeCell="W29" sqref="W29"/>
    </sheetView>
  </sheetViews>
  <sheetFormatPr defaultRowHeight="14.4"/>
  <sheetData>
    <row r="1" spans="1:24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 ht="33.6">
      <c r="E2" s="23" t="s">
        <v>22</v>
      </c>
      <c r="F2" s="23"/>
      <c r="G2" s="23"/>
      <c r="H2" s="23"/>
      <c r="I2" s="23"/>
      <c r="J2" s="24"/>
      <c r="K2" s="24"/>
      <c r="L2" s="24"/>
      <c r="M2" s="24"/>
      <c r="N2" s="24"/>
    </row>
    <row r="4" spans="1:2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10" spans="1:24">
      <c r="S10" s="9"/>
      <c r="T10" s="9"/>
      <c r="U10" s="9"/>
      <c r="V10" s="9"/>
    </row>
    <row r="11" spans="1:24">
      <c r="S11" s="9"/>
      <c r="T11" s="9"/>
      <c r="U11" s="9"/>
      <c r="V11" s="9"/>
    </row>
    <row r="12" spans="1:24">
      <c r="S12" s="9"/>
      <c r="T12" s="9"/>
      <c r="U12" s="9"/>
      <c r="V12" s="9"/>
    </row>
    <row r="13" spans="1:24">
      <c r="S13" s="9"/>
      <c r="T13" s="9"/>
      <c r="U13" s="9"/>
      <c r="V13" s="9"/>
    </row>
    <row r="14" spans="1:24">
      <c r="S14" s="9"/>
      <c r="T14" s="9"/>
      <c r="U14" s="9"/>
      <c r="V14" s="9"/>
    </row>
    <row r="15" spans="1:24">
      <c r="S15" s="9"/>
      <c r="T15" s="9"/>
      <c r="U15" s="9"/>
      <c r="V15" s="9"/>
    </row>
    <row r="16" spans="1:24">
      <c r="S16" s="9"/>
      <c r="T16" s="9"/>
      <c r="U16" s="9"/>
      <c r="V16" s="9"/>
    </row>
    <row r="17" spans="1:24">
      <c r="S17" s="9"/>
      <c r="T17" s="9"/>
      <c r="U17" s="9"/>
      <c r="V17" s="9"/>
    </row>
    <row r="18" spans="1:24">
      <c r="S18" s="9"/>
      <c r="T18" s="9"/>
      <c r="U18" s="9"/>
      <c r="V18" s="9"/>
    </row>
    <row r="19" spans="1:24">
      <c r="S19" s="9"/>
      <c r="T19" s="9"/>
      <c r="U19" s="9"/>
      <c r="V19" s="9"/>
    </row>
    <row r="25" spans="1:2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59" spans="1:24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</row>
    <row r="60" spans="1:24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</row>
    <row r="61" spans="1:24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</row>
    <row r="62" spans="1:24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</row>
    <row r="63" spans="1:24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</row>
    <row r="64" spans="1:2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</row>
    <row r="65" spans="1:24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4"/>
  <sheetViews>
    <sheetView tabSelected="1" workbookViewId="0">
      <pane ySplit="1" topLeftCell="A2" activePane="bottomLeft" state="frozen"/>
      <selection pane="bottomLeft" activeCell="L19" sqref="L19"/>
    </sheetView>
  </sheetViews>
  <sheetFormatPr defaultRowHeight="14.4"/>
  <cols>
    <col min="1" max="2" width="23" customWidth="1"/>
    <col min="3" max="3" width="19.33203125" customWidth="1"/>
    <col min="4" max="4" width="12" customWidth="1"/>
    <col min="5" max="5" width="11" customWidth="1"/>
    <col min="6" max="7" width="12" customWidth="1"/>
    <col min="8" max="8" width="13" customWidth="1"/>
    <col min="9" max="9" width="15" customWidth="1"/>
    <col min="10" max="10" width="10" customWidth="1"/>
    <col min="11" max="11" width="10.33203125" customWidth="1"/>
  </cols>
  <sheetData>
    <row r="1" spans="1:17">
      <c r="A1" s="1" t="s">
        <v>0</v>
      </c>
      <c r="B1" s="1" t="s">
        <v>18</v>
      </c>
      <c r="C1" s="1" t="s">
        <v>20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2" t="s">
        <v>10</v>
      </c>
      <c r="O1" s="27" t="s">
        <v>0</v>
      </c>
      <c r="P1" s="27" t="s">
        <v>1</v>
      </c>
      <c r="Q1" s="27" t="s">
        <v>4</v>
      </c>
    </row>
    <row r="2" spans="1:17">
      <c r="A2" s="2">
        <v>43191</v>
      </c>
      <c r="B2" s="17" t="s">
        <v>11</v>
      </c>
      <c r="C2" s="17" t="s">
        <v>19</v>
      </c>
      <c r="D2" s="3">
        <v>90.47</v>
      </c>
      <c r="E2" s="3">
        <v>97.9</v>
      </c>
      <c r="F2" s="3">
        <v>87.51</v>
      </c>
      <c r="G2" s="3">
        <v>93.52</v>
      </c>
      <c r="H2" s="3">
        <v>88.26</v>
      </c>
      <c r="I2" s="3">
        <v>668130700</v>
      </c>
      <c r="J2" s="15">
        <v>0.03</v>
      </c>
      <c r="K2" s="13">
        <v>4745</v>
      </c>
      <c r="O2" s="30">
        <v>43252</v>
      </c>
      <c r="P2" s="27">
        <f>VLOOKUP(O2,A2:K62,4,0)</f>
        <v>99.28</v>
      </c>
      <c r="Q2" s="27">
        <f>VLOOKUP(O2,A2:K62,7,0)</f>
        <v>98.61</v>
      </c>
    </row>
    <row r="3" spans="1:17">
      <c r="A3" s="4">
        <v>43221</v>
      </c>
      <c r="B3" s="18" t="s">
        <v>12</v>
      </c>
      <c r="C3" s="18" t="s">
        <v>19</v>
      </c>
      <c r="D3" s="5">
        <v>93.21</v>
      </c>
      <c r="E3" s="5">
        <v>99.99</v>
      </c>
      <c r="F3" s="5">
        <v>92.45</v>
      </c>
      <c r="G3" s="5">
        <v>98.84</v>
      </c>
      <c r="H3" s="5">
        <v>93.28</v>
      </c>
      <c r="I3" s="5">
        <v>509417900</v>
      </c>
      <c r="J3" s="16">
        <v>0.06</v>
      </c>
      <c r="K3" s="19">
        <v>3074</v>
      </c>
      <c r="O3" s="30">
        <v>43344</v>
      </c>
      <c r="P3" s="27">
        <f t="shared" ref="P3:P11" si="0">VLOOKUP(O3,A3:K63,4,0)</f>
        <v>110.85</v>
      </c>
      <c r="Q3" s="27">
        <f t="shared" ref="Q3:Q11" si="1">VLOOKUP(O3,A3:K63,7,0)</f>
        <v>114.37</v>
      </c>
    </row>
    <row r="4" spans="1:17">
      <c r="A4" s="2">
        <v>43252</v>
      </c>
      <c r="B4" s="17" t="s">
        <v>13</v>
      </c>
      <c r="C4" s="17" t="s">
        <v>19</v>
      </c>
      <c r="D4" s="3">
        <v>99.28</v>
      </c>
      <c r="E4" s="3">
        <v>102.69</v>
      </c>
      <c r="F4" s="3">
        <v>97.26</v>
      </c>
      <c r="G4" s="3">
        <v>98.61</v>
      </c>
      <c r="H4" s="3">
        <v>93.47</v>
      </c>
      <c r="I4" s="3">
        <v>602585200</v>
      </c>
      <c r="J4" s="15">
        <v>-0.01</v>
      </c>
      <c r="K4" s="13">
        <v>2669</v>
      </c>
      <c r="O4" s="30">
        <v>43617</v>
      </c>
      <c r="P4" s="27">
        <f t="shared" si="0"/>
        <v>123.85</v>
      </c>
      <c r="Q4" s="27">
        <f t="shared" si="1"/>
        <v>133.96</v>
      </c>
    </row>
    <row r="5" spans="1:17">
      <c r="A5" s="4">
        <v>43282</v>
      </c>
      <c r="B5" s="18" t="s">
        <v>14</v>
      </c>
      <c r="C5" s="18" t="s">
        <v>19</v>
      </c>
      <c r="D5" s="5">
        <v>98.1</v>
      </c>
      <c r="E5" s="5">
        <v>111.15</v>
      </c>
      <c r="F5" s="5">
        <v>98</v>
      </c>
      <c r="G5" s="5">
        <v>106.08</v>
      </c>
      <c r="H5" s="5">
        <v>100.55</v>
      </c>
      <c r="I5" s="5">
        <v>569352300</v>
      </c>
      <c r="J5" s="16">
        <v>0.08</v>
      </c>
      <c r="K5" s="20">
        <v>2655</v>
      </c>
      <c r="O5" s="30">
        <v>43709</v>
      </c>
      <c r="P5" s="27">
        <f t="shared" si="0"/>
        <v>136.61000000000001</v>
      </c>
      <c r="Q5" s="27">
        <f t="shared" si="1"/>
        <v>139.03</v>
      </c>
    </row>
    <row r="6" spans="1:17">
      <c r="A6" s="2">
        <v>43313</v>
      </c>
      <c r="B6" s="17" t="s">
        <v>15</v>
      </c>
      <c r="C6" s="17" t="s">
        <v>19</v>
      </c>
      <c r="D6" s="3">
        <v>106.03</v>
      </c>
      <c r="E6" s="3">
        <v>112.78</v>
      </c>
      <c r="F6" s="3">
        <v>104.84</v>
      </c>
      <c r="G6" s="3">
        <v>112.33</v>
      </c>
      <c r="H6" s="3">
        <v>106.47</v>
      </c>
      <c r="I6" s="3">
        <v>456628100</v>
      </c>
      <c r="J6" s="15">
        <v>0.06</v>
      </c>
      <c r="K6" s="14">
        <v>2482</v>
      </c>
      <c r="O6" s="30">
        <v>43983</v>
      </c>
      <c r="P6" s="27">
        <f t="shared" si="0"/>
        <v>182.54</v>
      </c>
      <c r="Q6" s="27">
        <f t="shared" si="1"/>
        <v>203.51</v>
      </c>
    </row>
    <row r="7" spans="1:17">
      <c r="A7" s="4">
        <v>43344</v>
      </c>
      <c r="B7" s="18" t="s">
        <v>16</v>
      </c>
      <c r="C7" s="18" t="s">
        <v>19</v>
      </c>
      <c r="D7" s="5">
        <v>110.85</v>
      </c>
      <c r="E7" s="5">
        <v>115.29</v>
      </c>
      <c r="F7" s="5">
        <v>107.23</v>
      </c>
      <c r="G7" s="5">
        <v>114.37</v>
      </c>
      <c r="H7" s="5">
        <v>108.82</v>
      </c>
      <c r="I7" s="5">
        <v>480255500</v>
      </c>
      <c r="J7" s="16">
        <v>0.03</v>
      </c>
      <c r="K7" s="20">
        <v>8264</v>
      </c>
      <c r="O7" s="30">
        <v>44075</v>
      </c>
      <c r="P7" s="27">
        <f t="shared" si="0"/>
        <v>225.51</v>
      </c>
      <c r="Q7" s="27">
        <f t="shared" si="1"/>
        <v>210.33</v>
      </c>
    </row>
    <row r="8" spans="1:17">
      <c r="A8" s="2">
        <v>43374</v>
      </c>
      <c r="B8" s="17" t="s">
        <v>17</v>
      </c>
      <c r="C8" s="17" t="s">
        <v>19</v>
      </c>
      <c r="D8" s="3">
        <v>114.75</v>
      </c>
      <c r="E8" s="3">
        <v>116.18</v>
      </c>
      <c r="F8" s="3">
        <v>100.11</v>
      </c>
      <c r="G8" s="3">
        <v>106.81</v>
      </c>
      <c r="H8" s="3">
        <v>101.63</v>
      </c>
      <c r="I8" s="3">
        <v>927548000</v>
      </c>
      <c r="J8" s="15">
        <v>-7.0000000000000007E-2</v>
      </c>
      <c r="K8" s="14">
        <v>6668</v>
      </c>
      <c r="O8" s="30">
        <v>44348</v>
      </c>
      <c r="P8" s="27">
        <f t="shared" si="0"/>
        <v>251.23</v>
      </c>
      <c r="Q8" s="27">
        <f t="shared" si="1"/>
        <v>270.89999999999998</v>
      </c>
    </row>
    <row r="9" spans="1:17">
      <c r="A9" s="4">
        <v>43405</v>
      </c>
      <c r="B9" s="18" t="s">
        <v>11</v>
      </c>
      <c r="C9" s="18" t="s">
        <v>19</v>
      </c>
      <c r="D9" s="5">
        <v>107.05</v>
      </c>
      <c r="E9" s="5">
        <v>112.24</v>
      </c>
      <c r="F9" s="5">
        <v>99.35</v>
      </c>
      <c r="G9" s="5">
        <v>110.89</v>
      </c>
      <c r="H9" s="5">
        <v>105.51</v>
      </c>
      <c r="I9" s="5">
        <v>720228600</v>
      </c>
      <c r="J9" s="16">
        <v>0.04</v>
      </c>
      <c r="K9" s="20">
        <v>5404</v>
      </c>
      <c r="O9" s="30">
        <v>44440</v>
      </c>
      <c r="P9" s="27">
        <f t="shared" si="0"/>
        <v>302.87</v>
      </c>
      <c r="Q9" s="27">
        <f t="shared" si="1"/>
        <v>281.92</v>
      </c>
    </row>
    <row r="10" spans="1:17">
      <c r="A10" s="2">
        <v>43435</v>
      </c>
      <c r="B10" s="17" t="s">
        <v>12</v>
      </c>
      <c r="C10" s="17" t="s">
        <v>19</v>
      </c>
      <c r="D10" s="3">
        <v>113</v>
      </c>
      <c r="E10" s="3">
        <v>113.42</v>
      </c>
      <c r="F10" s="3">
        <v>93.96</v>
      </c>
      <c r="G10" s="3">
        <v>101.57</v>
      </c>
      <c r="H10" s="3">
        <v>97.06</v>
      </c>
      <c r="I10" s="3">
        <v>944314600</v>
      </c>
      <c r="J10" s="15">
        <v>-0.1</v>
      </c>
      <c r="K10" s="13">
        <v>9890</v>
      </c>
      <c r="O10" s="30">
        <v>44713</v>
      </c>
      <c r="P10" s="27">
        <f t="shared" si="0"/>
        <v>275.2</v>
      </c>
      <c r="Q10" s="27">
        <f t="shared" si="1"/>
        <v>256.83</v>
      </c>
    </row>
    <row r="11" spans="1:17">
      <c r="A11" s="4">
        <v>43466</v>
      </c>
      <c r="B11" s="18" t="s">
        <v>13</v>
      </c>
      <c r="C11" s="18" t="s">
        <v>19</v>
      </c>
      <c r="D11" s="5">
        <v>99.55</v>
      </c>
      <c r="E11" s="5">
        <v>107.9</v>
      </c>
      <c r="F11" s="5">
        <v>97.2</v>
      </c>
      <c r="G11" s="5">
        <v>104.43</v>
      </c>
      <c r="H11" s="5">
        <v>99.8</v>
      </c>
      <c r="I11" s="5">
        <v>714212800</v>
      </c>
      <c r="J11" s="16">
        <v>0.05</v>
      </c>
      <c r="K11" s="20">
        <v>7793</v>
      </c>
      <c r="O11" s="30">
        <v>44805</v>
      </c>
      <c r="P11" s="27">
        <f t="shared" si="0"/>
        <v>258.87</v>
      </c>
      <c r="Q11" s="27">
        <f t="shared" si="1"/>
        <v>232.9</v>
      </c>
    </row>
    <row r="12" spans="1:17">
      <c r="A12" s="2">
        <v>43497</v>
      </c>
      <c r="B12" s="17" t="s">
        <v>14</v>
      </c>
      <c r="C12" s="17" t="s">
        <v>19</v>
      </c>
      <c r="D12" s="3">
        <v>103.78</v>
      </c>
      <c r="E12" s="3">
        <v>113.24</v>
      </c>
      <c r="F12" s="3">
        <v>102.35</v>
      </c>
      <c r="G12" s="3">
        <v>112.03</v>
      </c>
      <c r="H12" s="3">
        <v>107.06</v>
      </c>
      <c r="I12" s="3">
        <v>469095900</v>
      </c>
      <c r="J12" s="15">
        <v>0.08</v>
      </c>
      <c r="K12" s="13">
        <v>7037</v>
      </c>
    </row>
    <row r="13" spans="1:17">
      <c r="A13" s="4">
        <v>43525</v>
      </c>
      <c r="B13" s="18" t="s">
        <v>15</v>
      </c>
      <c r="C13" s="18" t="s">
        <v>19</v>
      </c>
      <c r="D13" s="5">
        <v>112.89</v>
      </c>
      <c r="E13" s="5">
        <v>120.82</v>
      </c>
      <c r="F13" s="5">
        <v>108.8</v>
      </c>
      <c r="G13" s="5">
        <v>117.94</v>
      </c>
      <c r="H13" s="5">
        <v>113.19</v>
      </c>
      <c r="I13" s="5">
        <v>589095800</v>
      </c>
      <c r="J13" s="16">
        <v>0.04</v>
      </c>
      <c r="K13" s="21">
        <v>7050</v>
      </c>
    </row>
    <row r="14" spans="1:17">
      <c r="A14" s="2">
        <v>43556</v>
      </c>
      <c r="B14" s="17" t="s">
        <v>16</v>
      </c>
      <c r="C14" s="17" t="s">
        <v>19</v>
      </c>
      <c r="D14" s="3">
        <v>118.95</v>
      </c>
      <c r="E14" s="3">
        <v>131.37</v>
      </c>
      <c r="F14" s="3">
        <v>118.1</v>
      </c>
      <c r="G14" s="3">
        <v>130.6</v>
      </c>
      <c r="H14" s="3">
        <v>125.34</v>
      </c>
      <c r="I14" s="3">
        <v>433157700</v>
      </c>
      <c r="J14" s="15">
        <v>0.1</v>
      </c>
      <c r="K14" s="13">
        <v>8702</v>
      </c>
    </row>
    <row r="15" spans="1:17">
      <c r="A15" s="4">
        <v>43586</v>
      </c>
      <c r="B15" s="18" t="s">
        <v>17</v>
      </c>
      <c r="C15" s="18" t="s">
        <v>19</v>
      </c>
      <c r="D15" s="5">
        <v>130.53</v>
      </c>
      <c r="E15" s="5">
        <v>130.65</v>
      </c>
      <c r="F15" s="5">
        <v>123.04</v>
      </c>
      <c r="G15" s="5">
        <v>123.68</v>
      </c>
      <c r="H15" s="5">
        <v>118.7</v>
      </c>
      <c r="I15" s="5">
        <v>547218800</v>
      </c>
      <c r="J15" s="16">
        <v>-0.05</v>
      </c>
      <c r="K15" s="21">
        <v>5967</v>
      </c>
    </row>
    <row r="16" spans="1:17">
      <c r="A16" s="2">
        <v>43617</v>
      </c>
      <c r="B16" s="17" t="s">
        <v>11</v>
      </c>
      <c r="C16" s="17" t="s">
        <v>19</v>
      </c>
      <c r="D16" s="3">
        <v>123.85</v>
      </c>
      <c r="E16" s="3">
        <v>138.4</v>
      </c>
      <c r="F16" s="3">
        <v>119.01</v>
      </c>
      <c r="G16" s="3">
        <v>133.96</v>
      </c>
      <c r="H16" s="3">
        <v>129.04</v>
      </c>
      <c r="I16" s="3">
        <v>508324300</v>
      </c>
      <c r="J16" s="15">
        <v>0.08</v>
      </c>
      <c r="K16" s="13">
        <v>7407</v>
      </c>
    </row>
    <row r="17" spans="1:11">
      <c r="A17" s="4">
        <v>43647</v>
      </c>
      <c r="B17" s="18" t="s">
        <v>12</v>
      </c>
      <c r="C17" s="18" t="s">
        <v>19</v>
      </c>
      <c r="D17" s="5">
        <v>136.63</v>
      </c>
      <c r="E17" s="5">
        <v>141.68</v>
      </c>
      <c r="F17" s="5">
        <v>134.66999999999999</v>
      </c>
      <c r="G17" s="5">
        <v>136.27000000000001</v>
      </c>
      <c r="H17" s="5">
        <v>131.26</v>
      </c>
      <c r="I17" s="5">
        <v>484079900</v>
      </c>
      <c r="J17" s="16">
        <v>0</v>
      </c>
      <c r="K17" s="20">
        <v>3529</v>
      </c>
    </row>
    <row r="18" spans="1:11">
      <c r="A18" s="2">
        <v>43678</v>
      </c>
      <c r="B18" s="17" t="s">
        <v>13</v>
      </c>
      <c r="C18" s="17" t="s">
        <v>19</v>
      </c>
      <c r="D18" s="3">
        <v>137</v>
      </c>
      <c r="E18" s="3">
        <v>140.94</v>
      </c>
      <c r="F18" s="3">
        <v>130.78</v>
      </c>
      <c r="G18" s="3">
        <v>137.86000000000001</v>
      </c>
      <c r="H18" s="3">
        <v>132.79</v>
      </c>
      <c r="I18" s="3">
        <v>584482000</v>
      </c>
      <c r="J18" s="15">
        <v>0.01</v>
      </c>
      <c r="K18" s="13">
        <v>8818</v>
      </c>
    </row>
    <row r="19" spans="1:11">
      <c r="A19" s="4">
        <v>43709</v>
      </c>
      <c r="B19" s="18" t="s">
        <v>14</v>
      </c>
      <c r="C19" s="18" t="s">
        <v>19</v>
      </c>
      <c r="D19" s="5">
        <v>136.61000000000001</v>
      </c>
      <c r="E19" s="5">
        <v>142.37</v>
      </c>
      <c r="F19" s="5">
        <v>134.51</v>
      </c>
      <c r="G19" s="5">
        <v>139.03</v>
      </c>
      <c r="H19" s="5">
        <v>134.37</v>
      </c>
      <c r="I19" s="5">
        <v>472544800</v>
      </c>
      <c r="J19" s="16">
        <v>0.02</v>
      </c>
      <c r="K19" s="20">
        <v>9580</v>
      </c>
    </row>
    <row r="20" spans="1:11">
      <c r="A20" s="2">
        <v>43739</v>
      </c>
      <c r="B20" s="17" t="s">
        <v>15</v>
      </c>
      <c r="C20" s="17" t="s">
        <v>19</v>
      </c>
      <c r="D20" s="3">
        <v>139.66</v>
      </c>
      <c r="E20" s="3">
        <v>145.66999999999999</v>
      </c>
      <c r="F20" s="3">
        <v>133.22</v>
      </c>
      <c r="G20" s="3">
        <v>143.37</v>
      </c>
      <c r="H20" s="3">
        <v>138.56</v>
      </c>
      <c r="I20" s="3">
        <v>549523400</v>
      </c>
      <c r="J20" s="15">
        <v>0.03</v>
      </c>
      <c r="K20" s="13">
        <v>4740</v>
      </c>
    </row>
    <row r="21" spans="1:11">
      <c r="A21" s="4">
        <v>43770</v>
      </c>
      <c r="B21" s="18" t="s">
        <v>16</v>
      </c>
      <c r="C21" s="18" t="s">
        <v>19</v>
      </c>
      <c r="D21" s="5">
        <v>144.26</v>
      </c>
      <c r="E21" s="5">
        <v>152.5</v>
      </c>
      <c r="F21" s="5">
        <v>142.97</v>
      </c>
      <c r="G21" s="5">
        <v>151.38</v>
      </c>
      <c r="H21" s="5">
        <v>146.30000000000001</v>
      </c>
      <c r="I21" s="5">
        <v>392371800</v>
      </c>
      <c r="J21" s="16">
        <v>0.05</v>
      </c>
      <c r="K21" s="22">
        <v>7811</v>
      </c>
    </row>
    <row r="22" spans="1:11">
      <c r="A22" s="2">
        <v>43800</v>
      </c>
      <c r="B22" s="17" t="s">
        <v>17</v>
      </c>
      <c r="C22" s="17" t="s">
        <v>19</v>
      </c>
      <c r="D22" s="3">
        <v>151.81</v>
      </c>
      <c r="E22" s="3">
        <v>159.55000000000001</v>
      </c>
      <c r="F22" s="3">
        <v>146.65</v>
      </c>
      <c r="G22" s="3">
        <v>157.69999999999999</v>
      </c>
      <c r="H22" s="3">
        <v>152.93</v>
      </c>
      <c r="I22" s="3">
        <v>450303300</v>
      </c>
      <c r="J22" s="15">
        <v>0.04</v>
      </c>
      <c r="K22" s="13">
        <v>2967</v>
      </c>
    </row>
    <row r="23" spans="1:11">
      <c r="A23" s="4">
        <v>43831</v>
      </c>
      <c r="B23" s="18" t="s">
        <v>11</v>
      </c>
      <c r="C23" s="18" t="s">
        <v>19</v>
      </c>
      <c r="D23" s="5">
        <v>158.78</v>
      </c>
      <c r="E23" s="5">
        <v>174.05</v>
      </c>
      <c r="F23" s="5">
        <v>156.51</v>
      </c>
      <c r="G23" s="5">
        <v>170.23</v>
      </c>
      <c r="H23" s="5">
        <v>165.08</v>
      </c>
      <c r="I23" s="5">
        <v>558530000</v>
      </c>
      <c r="J23" s="16">
        <v>7.0000000000000007E-2</v>
      </c>
      <c r="K23" s="20">
        <v>8790</v>
      </c>
    </row>
    <row r="24" spans="1:11">
      <c r="A24" s="2">
        <v>43862</v>
      </c>
      <c r="B24" s="17" t="s">
        <v>12</v>
      </c>
      <c r="C24" s="17" t="s">
        <v>19</v>
      </c>
      <c r="D24" s="3">
        <v>170.43</v>
      </c>
      <c r="E24" s="3">
        <v>190.7</v>
      </c>
      <c r="F24" s="3">
        <v>152</v>
      </c>
      <c r="G24" s="3">
        <v>162.01</v>
      </c>
      <c r="H24" s="3">
        <v>157.11000000000001</v>
      </c>
      <c r="I24" s="3">
        <v>887522300</v>
      </c>
      <c r="J24" s="15">
        <v>-0.05</v>
      </c>
      <c r="K24" s="13">
        <v>4668</v>
      </c>
    </row>
    <row r="25" spans="1:11">
      <c r="A25" s="4">
        <v>43891</v>
      </c>
      <c r="B25" s="18" t="s">
        <v>13</v>
      </c>
      <c r="C25" s="18" t="s">
        <v>19</v>
      </c>
      <c r="D25" s="5">
        <v>165.31</v>
      </c>
      <c r="E25" s="5">
        <v>175</v>
      </c>
      <c r="F25" s="5">
        <v>132.52000000000001</v>
      </c>
      <c r="G25" s="5">
        <v>157.71</v>
      </c>
      <c r="H25" s="5">
        <v>153.36000000000001</v>
      </c>
      <c r="I25" s="5">
        <v>1612695500</v>
      </c>
      <c r="J25" s="16">
        <v>-0.05</v>
      </c>
      <c r="K25" s="21">
        <v>1234</v>
      </c>
    </row>
    <row r="26" spans="1:11">
      <c r="A26" s="2">
        <v>43922</v>
      </c>
      <c r="B26" s="17" t="s">
        <v>14</v>
      </c>
      <c r="C26" s="17" t="s">
        <v>19</v>
      </c>
      <c r="D26" s="3">
        <v>153</v>
      </c>
      <c r="E26" s="3">
        <v>180.4</v>
      </c>
      <c r="F26" s="3">
        <v>150.36000000000001</v>
      </c>
      <c r="G26" s="3">
        <v>179.21</v>
      </c>
      <c r="H26" s="3">
        <v>174.26</v>
      </c>
      <c r="I26" s="3">
        <v>984705000</v>
      </c>
      <c r="J26" s="15">
        <v>0.17</v>
      </c>
      <c r="K26" s="13">
        <v>5313</v>
      </c>
    </row>
    <row r="27" spans="1:11">
      <c r="A27" s="4">
        <v>43952</v>
      </c>
      <c r="B27" s="18" t="s">
        <v>15</v>
      </c>
      <c r="C27" s="18" t="s">
        <v>19</v>
      </c>
      <c r="D27" s="5">
        <v>175.8</v>
      </c>
      <c r="E27" s="5">
        <v>187.51</v>
      </c>
      <c r="F27" s="5">
        <v>173.8</v>
      </c>
      <c r="G27" s="5">
        <v>183.25</v>
      </c>
      <c r="H27" s="5">
        <v>178.19</v>
      </c>
      <c r="I27" s="5">
        <v>688845000</v>
      </c>
      <c r="J27" s="16">
        <v>0.04</v>
      </c>
      <c r="K27" s="20">
        <v>7972</v>
      </c>
    </row>
    <row r="28" spans="1:11">
      <c r="A28" s="2">
        <v>43983</v>
      </c>
      <c r="B28" s="17" t="s">
        <v>16</v>
      </c>
      <c r="C28" s="17" t="s">
        <v>19</v>
      </c>
      <c r="D28" s="3">
        <v>182.54</v>
      </c>
      <c r="E28" s="3">
        <v>204.4</v>
      </c>
      <c r="F28" s="3">
        <v>181.35</v>
      </c>
      <c r="G28" s="3">
        <v>203.51</v>
      </c>
      <c r="H28" s="3">
        <v>198.44</v>
      </c>
      <c r="I28" s="3">
        <v>764965400</v>
      </c>
      <c r="J28" s="15">
        <v>0.11</v>
      </c>
      <c r="K28" s="13">
        <v>4575</v>
      </c>
    </row>
    <row r="29" spans="1:11">
      <c r="A29" s="4">
        <v>44013</v>
      </c>
      <c r="B29" s="18" t="s">
        <v>17</v>
      </c>
      <c r="C29" s="18" t="s">
        <v>19</v>
      </c>
      <c r="D29" s="5">
        <v>203.14</v>
      </c>
      <c r="E29" s="5">
        <v>216.38</v>
      </c>
      <c r="F29" s="5">
        <v>197.51</v>
      </c>
      <c r="G29" s="5">
        <v>205.01</v>
      </c>
      <c r="H29" s="5">
        <v>199.91</v>
      </c>
      <c r="I29" s="5">
        <v>770190800</v>
      </c>
      <c r="J29" s="16">
        <v>0.01</v>
      </c>
      <c r="K29" s="21">
        <v>1520</v>
      </c>
    </row>
    <row r="30" spans="1:11">
      <c r="A30" s="2">
        <v>44044</v>
      </c>
      <c r="B30" s="17" t="s">
        <v>11</v>
      </c>
      <c r="C30" s="17" t="s">
        <v>19</v>
      </c>
      <c r="D30" s="3">
        <v>211.52</v>
      </c>
      <c r="E30" s="3">
        <v>231.15</v>
      </c>
      <c r="F30" s="3">
        <v>203.14</v>
      </c>
      <c r="G30" s="3">
        <v>225.53</v>
      </c>
      <c r="H30" s="3">
        <v>219.92</v>
      </c>
      <c r="I30" s="3">
        <v>692423900</v>
      </c>
      <c r="J30" s="15">
        <v>7.0000000000000007E-2</v>
      </c>
      <c r="K30" s="13">
        <v>3223</v>
      </c>
    </row>
    <row r="31" spans="1:11">
      <c r="A31" s="4">
        <v>44075</v>
      </c>
      <c r="B31" s="18" t="s">
        <v>12</v>
      </c>
      <c r="C31" s="18" t="s">
        <v>19</v>
      </c>
      <c r="D31" s="5">
        <v>225.51</v>
      </c>
      <c r="E31" s="5">
        <v>232.86</v>
      </c>
      <c r="F31" s="5">
        <v>196.25</v>
      </c>
      <c r="G31" s="5">
        <v>210.33</v>
      </c>
      <c r="H31" s="5">
        <v>205.59</v>
      </c>
      <c r="I31" s="5">
        <v>768176300</v>
      </c>
      <c r="J31" s="16">
        <v>-7.0000000000000007E-2</v>
      </c>
      <c r="K31" s="20">
        <v>4292</v>
      </c>
    </row>
    <row r="32" spans="1:11">
      <c r="A32" s="2">
        <v>44105</v>
      </c>
      <c r="B32" s="17" t="s">
        <v>13</v>
      </c>
      <c r="C32" s="17" t="s">
        <v>19</v>
      </c>
      <c r="D32" s="3">
        <v>213.49</v>
      </c>
      <c r="E32" s="3">
        <v>225.21</v>
      </c>
      <c r="F32" s="3">
        <v>199.62</v>
      </c>
      <c r="G32" s="3">
        <v>202.47</v>
      </c>
      <c r="H32" s="3">
        <v>197.91</v>
      </c>
      <c r="I32" s="3">
        <v>631618000</v>
      </c>
      <c r="J32" s="15">
        <v>-0.05</v>
      </c>
      <c r="K32" s="13">
        <v>8580</v>
      </c>
    </row>
    <row r="33" spans="1:11">
      <c r="A33" s="4">
        <v>44136</v>
      </c>
      <c r="B33" s="18" t="s">
        <v>14</v>
      </c>
      <c r="C33" s="18" t="s">
        <v>19</v>
      </c>
      <c r="D33" s="5">
        <v>204.29</v>
      </c>
      <c r="E33" s="5">
        <v>228.12</v>
      </c>
      <c r="F33" s="5">
        <v>200.12</v>
      </c>
      <c r="G33" s="5">
        <v>214.07</v>
      </c>
      <c r="H33" s="5">
        <v>209.25</v>
      </c>
      <c r="I33" s="5">
        <v>573443000</v>
      </c>
      <c r="J33" s="16">
        <v>0.05</v>
      </c>
      <c r="K33" s="20">
        <v>9819</v>
      </c>
    </row>
    <row r="34" spans="1:11">
      <c r="A34" s="2">
        <v>44166</v>
      </c>
      <c r="B34" s="17" t="s">
        <v>15</v>
      </c>
      <c r="C34" s="17" t="s">
        <v>19</v>
      </c>
      <c r="D34" s="3">
        <v>214.51</v>
      </c>
      <c r="E34" s="3">
        <v>227.18</v>
      </c>
      <c r="F34" s="3">
        <v>209.11</v>
      </c>
      <c r="G34" s="3">
        <v>222.42</v>
      </c>
      <c r="H34" s="3">
        <v>217.98</v>
      </c>
      <c r="I34" s="3">
        <v>594761700</v>
      </c>
      <c r="J34" s="15">
        <v>0.04</v>
      </c>
      <c r="K34" s="13">
        <v>6622</v>
      </c>
    </row>
    <row r="35" spans="1:11">
      <c r="A35" s="4">
        <v>44197</v>
      </c>
      <c r="B35" s="18" t="s">
        <v>16</v>
      </c>
      <c r="C35" s="18" t="s">
        <v>19</v>
      </c>
      <c r="D35" s="5">
        <v>222.53</v>
      </c>
      <c r="E35" s="5">
        <v>242.64</v>
      </c>
      <c r="F35" s="5">
        <v>211.94</v>
      </c>
      <c r="G35" s="5">
        <v>231.96</v>
      </c>
      <c r="H35" s="5">
        <v>227.33</v>
      </c>
      <c r="I35" s="5">
        <v>648076400</v>
      </c>
      <c r="J35" s="16">
        <v>0.04</v>
      </c>
      <c r="K35" s="20">
        <v>9227</v>
      </c>
    </row>
    <row r="36" spans="1:11">
      <c r="A36" s="2">
        <v>44228</v>
      </c>
      <c r="B36" s="17" t="s">
        <v>17</v>
      </c>
      <c r="C36" s="17" t="s">
        <v>19</v>
      </c>
      <c r="D36" s="3">
        <v>235.06</v>
      </c>
      <c r="E36" s="3">
        <v>246.13</v>
      </c>
      <c r="F36" s="3">
        <v>227.88</v>
      </c>
      <c r="G36" s="3">
        <v>232.38</v>
      </c>
      <c r="H36" s="3">
        <v>227.74</v>
      </c>
      <c r="I36" s="3">
        <v>490962200</v>
      </c>
      <c r="J36" s="15">
        <v>-0.01</v>
      </c>
      <c r="K36" s="13">
        <v>3280</v>
      </c>
    </row>
    <row r="37" spans="1:11">
      <c r="A37" s="4">
        <v>44256</v>
      </c>
      <c r="B37" s="18" t="s">
        <v>11</v>
      </c>
      <c r="C37" s="18" t="s">
        <v>19</v>
      </c>
      <c r="D37" s="5">
        <v>235.9</v>
      </c>
      <c r="E37" s="5">
        <v>241.05</v>
      </c>
      <c r="F37" s="5">
        <v>224.26</v>
      </c>
      <c r="G37" s="5">
        <v>235.77</v>
      </c>
      <c r="H37" s="5">
        <v>231.59</v>
      </c>
      <c r="I37" s="5">
        <v>724945800</v>
      </c>
      <c r="J37" s="16">
        <v>0</v>
      </c>
      <c r="K37" s="20">
        <v>7415</v>
      </c>
    </row>
    <row r="38" spans="1:11">
      <c r="A38" s="2">
        <v>44287</v>
      </c>
      <c r="B38" s="17" t="s">
        <v>12</v>
      </c>
      <c r="C38" s="17" t="s">
        <v>19</v>
      </c>
      <c r="D38" s="3">
        <v>238.47</v>
      </c>
      <c r="E38" s="3">
        <v>263.19</v>
      </c>
      <c r="F38" s="3">
        <v>238.05</v>
      </c>
      <c r="G38" s="3">
        <v>252.18</v>
      </c>
      <c r="H38" s="3">
        <v>247.71</v>
      </c>
      <c r="I38" s="3">
        <v>568661600</v>
      </c>
      <c r="J38" s="15">
        <v>0.06</v>
      </c>
      <c r="K38" s="13">
        <v>4516</v>
      </c>
    </row>
    <row r="39" spans="1:11">
      <c r="A39" s="4">
        <v>44317</v>
      </c>
      <c r="B39" s="18" t="s">
        <v>13</v>
      </c>
      <c r="C39" s="18" t="s">
        <v>19</v>
      </c>
      <c r="D39" s="5">
        <v>253.4</v>
      </c>
      <c r="E39" s="5">
        <v>254.35</v>
      </c>
      <c r="F39" s="5">
        <v>238.07</v>
      </c>
      <c r="G39" s="5">
        <v>249.68</v>
      </c>
      <c r="H39" s="5">
        <v>245.26</v>
      </c>
      <c r="I39" s="5">
        <v>495084900</v>
      </c>
      <c r="J39" s="16">
        <v>-0.01</v>
      </c>
      <c r="K39" s="20">
        <v>9687</v>
      </c>
    </row>
    <row r="40" spans="1:11">
      <c r="A40" s="2">
        <v>44348</v>
      </c>
      <c r="B40" s="17" t="s">
        <v>14</v>
      </c>
      <c r="C40" s="17" t="s">
        <v>19</v>
      </c>
      <c r="D40" s="3">
        <v>251.23</v>
      </c>
      <c r="E40" s="3">
        <v>271.64999999999998</v>
      </c>
      <c r="F40" s="3">
        <v>243</v>
      </c>
      <c r="G40" s="3">
        <v>270.89999999999998</v>
      </c>
      <c r="H40" s="3">
        <v>266.72000000000003</v>
      </c>
      <c r="I40" s="3">
        <v>508572200</v>
      </c>
      <c r="J40" s="15">
        <v>0.08</v>
      </c>
      <c r="K40" s="13">
        <v>2653</v>
      </c>
    </row>
    <row r="41" spans="1:11">
      <c r="A41" s="4">
        <v>44378</v>
      </c>
      <c r="B41" s="18" t="s">
        <v>15</v>
      </c>
      <c r="C41" s="18" t="s">
        <v>19</v>
      </c>
      <c r="D41" s="5">
        <v>269.61</v>
      </c>
      <c r="E41" s="5">
        <v>290.14999999999998</v>
      </c>
      <c r="F41" s="5">
        <v>269.60000000000002</v>
      </c>
      <c r="G41" s="5">
        <v>284.91000000000003</v>
      </c>
      <c r="H41" s="5">
        <v>280.51</v>
      </c>
      <c r="I41" s="5">
        <v>522672700</v>
      </c>
      <c r="J41" s="16">
        <v>0.06</v>
      </c>
      <c r="K41" s="20">
        <v>8397</v>
      </c>
    </row>
    <row r="42" spans="1:11">
      <c r="A42" s="2">
        <v>44409</v>
      </c>
      <c r="B42" s="17" t="s">
        <v>16</v>
      </c>
      <c r="C42" s="17" t="s">
        <v>19</v>
      </c>
      <c r="D42" s="3">
        <v>286.36</v>
      </c>
      <c r="E42" s="3">
        <v>305.83999999999997</v>
      </c>
      <c r="F42" s="3">
        <v>283.74</v>
      </c>
      <c r="G42" s="3">
        <v>301.88</v>
      </c>
      <c r="H42" s="3">
        <v>297.22000000000003</v>
      </c>
      <c r="I42" s="3">
        <v>441308900</v>
      </c>
      <c r="J42" s="15">
        <v>0.05</v>
      </c>
      <c r="K42" s="13">
        <v>6805</v>
      </c>
    </row>
    <row r="43" spans="1:11">
      <c r="A43" s="4">
        <v>44440</v>
      </c>
      <c r="B43" s="18" t="s">
        <v>17</v>
      </c>
      <c r="C43" s="18" t="s">
        <v>19</v>
      </c>
      <c r="D43" s="5">
        <v>302.87</v>
      </c>
      <c r="E43" s="5">
        <v>305.32</v>
      </c>
      <c r="F43" s="5">
        <v>281.62</v>
      </c>
      <c r="G43" s="5">
        <v>281.92</v>
      </c>
      <c r="H43" s="5">
        <v>278.10000000000002</v>
      </c>
      <c r="I43" s="5">
        <v>502918700</v>
      </c>
      <c r="J43" s="16">
        <v>-7.0000000000000007E-2</v>
      </c>
      <c r="K43" s="20">
        <v>1861</v>
      </c>
    </row>
    <row r="44" spans="1:11">
      <c r="A44" s="2">
        <v>44470</v>
      </c>
      <c r="B44" s="17" t="s">
        <v>11</v>
      </c>
      <c r="C44" s="17" t="s">
        <v>19</v>
      </c>
      <c r="D44" s="3">
        <v>282.12</v>
      </c>
      <c r="E44" s="3">
        <v>332</v>
      </c>
      <c r="F44" s="3">
        <v>280.25</v>
      </c>
      <c r="G44" s="3">
        <v>331.62</v>
      </c>
      <c r="H44" s="3">
        <v>327.12</v>
      </c>
      <c r="I44" s="3">
        <v>516515800</v>
      </c>
      <c r="J44" s="15">
        <v>0.18</v>
      </c>
      <c r="K44" s="13">
        <v>3851</v>
      </c>
    </row>
    <row r="45" spans="1:11">
      <c r="A45" s="4">
        <v>44501</v>
      </c>
      <c r="B45" s="18" t="s">
        <v>12</v>
      </c>
      <c r="C45" s="18" t="s">
        <v>19</v>
      </c>
      <c r="D45" s="5">
        <v>331.36</v>
      </c>
      <c r="E45" s="5">
        <v>349.67</v>
      </c>
      <c r="F45" s="5">
        <v>326.37</v>
      </c>
      <c r="G45" s="5">
        <v>330.59</v>
      </c>
      <c r="H45" s="5">
        <v>326.11</v>
      </c>
      <c r="I45" s="5">
        <v>509885200</v>
      </c>
      <c r="J45" s="16">
        <v>0</v>
      </c>
      <c r="K45" s="20">
        <v>5869</v>
      </c>
    </row>
    <row r="46" spans="1:11">
      <c r="A46" s="2">
        <v>44531</v>
      </c>
      <c r="B46" s="17" t="s">
        <v>13</v>
      </c>
      <c r="C46" s="17" t="s">
        <v>19</v>
      </c>
      <c r="D46" s="3">
        <v>335.13</v>
      </c>
      <c r="E46" s="3">
        <v>344.3</v>
      </c>
      <c r="F46" s="3">
        <v>317.25</v>
      </c>
      <c r="G46" s="3">
        <v>336.32</v>
      </c>
      <c r="H46" s="3">
        <v>332.37</v>
      </c>
      <c r="I46" s="3">
        <v>625674800</v>
      </c>
      <c r="J46" s="15">
        <v>0</v>
      </c>
      <c r="K46" s="13">
        <v>6795</v>
      </c>
    </row>
    <row r="47" spans="1:11">
      <c r="A47" s="4">
        <v>44562</v>
      </c>
      <c r="B47" s="18" t="s">
        <v>14</v>
      </c>
      <c r="C47" s="18" t="s">
        <v>19</v>
      </c>
      <c r="D47" s="5">
        <v>335.35</v>
      </c>
      <c r="E47" s="5">
        <v>338</v>
      </c>
      <c r="F47" s="5">
        <v>276.05</v>
      </c>
      <c r="G47" s="5">
        <v>310.98</v>
      </c>
      <c r="H47" s="5">
        <v>307.32</v>
      </c>
      <c r="I47" s="5">
        <v>947531400</v>
      </c>
      <c r="J47" s="16">
        <v>-7.0000000000000007E-2</v>
      </c>
      <c r="K47" s="20">
        <v>3310</v>
      </c>
    </row>
    <row r="48" spans="1:11">
      <c r="A48" s="2">
        <v>44593</v>
      </c>
      <c r="B48" s="17" t="s">
        <v>15</v>
      </c>
      <c r="C48" s="17" t="s">
        <v>19</v>
      </c>
      <c r="D48" s="3">
        <v>310.41000000000003</v>
      </c>
      <c r="E48" s="3">
        <v>315.12</v>
      </c>
      <c r="F48" s="3">
        <v>271.52</v>
      </c>
      <c r="G48" s="3">
        <v>298.79000000000002</v>
      </c>
      <c r="H48" s="3">
        <v>295.27999999999997</v>
      </c>
      <c r="I48" s="3">
        <v>697050600</v>
      </c>
      <c r="J48" s="15">
        <v>-0.04</v>
      </c>
      <c r="K48" s="13">
        <v>6358</v>
      </c>
    </row>
    <row r="49" spans="1:11">
      <c r="A49" s="4">
        <v>44621</v>
      </c>
      <c r="B49" s="18" t="s">
        <v>16</v>
      </c>
      <c r="C49" s="18" t="s">
        <v>19</v>
      </c>
      <c r="D49" s="5">
        <v>296.39999999999998</v>
      </c>
      <c r="E49" s="5">
        <v>315.95</v>
      </c>
      <c r="F49" s="5">
        <v>270</v>
      </c>
      <c r="G49" s="5">
        <v>308.31</v>
      </c>
      <c r="H49" s="5">
        <v>305.31</v>
      </c>
      <c r="I49" s="5">
        <v>734334200</v>
      </c>
      <c r="J49" s="16">
        <v>0.04</v>
      </c>
      <c r="K49" s="20">
        <v>6702</v>
      </c>
    </row>
    <row r="50" spans="1:11">
      <c r="A50" s="2">
        <v>44652</v>
      </c>
      <c r="B50" s="17" t="s">
        <v>17</v>
      </c>
      <c r="C50" s="17" t="s">
        <v>19</v>
      </c>
      <c r="D50" s="3">
        <v>309.37</v>
      </c>
      <c r="E50" s="3">
        <v>315.11</v>
      </c>
      <c r="F50" s="3">
        <v>270</v>
      </c>
      <c r="G50" s="3">
        <v>277.52</v>
      </c>
      <c r="H50" s="3">
        <v>274.82</v>
      </c>
      <c r="I50" s="3">
        <v>627343400</v>
      </c>
      <c r="J50" s="15">
        <v>-0.1</v>
      </c>
      <c r="K50" s="13">
        <v>1626</v>
      </c>
    </row>
    <row r="51" spans="1:11">
      <c r="A51" s="4">
        <v>44682</v>
      </c>
      <c r="B51" s="18" t="s">
        <v>11</v>
      </c>
      <c r="C51" s="18" t="s">
        <v>19</v>
      </c>
      <c r="D51" s="5">
        <v>277.70999999999998</v>
      </c>
      <c r="E51" s="5">
        <v>290.88</v>
      </c>
      <c r="F51" s="5">
        <v>246.44</v>
      </c>
      <c r="G51" s="5">
        <v>271.87</v>
      </c>
      <c r="H51" s="5">
        <v>269.23</v>
      </c>
      <c r="I51" s="5">
        <v>742902000</v>
      </c>
      <c r="J51" s="16">
        <v>-0.02</v>
      </c>
      <c r="K51" s="20">
        <v>4443</v>
      </c>
    </row>
    <row r="52" spans="1:11">
      <c r="A52" s="2">
        <v>44713</v>
      </c>
      <c r="B52" s="17" t="s">
        <v>12</v>
      </c>
      <c r="C52" s="17" t="s">
        <v>19</v>
      </c>
      <c r="D52" s="3">
        <v>275.2</v>
      </c>
      <c r="E52" s="3">
        <v>277.69</v>
      </c>
      <c r="F52" s="3">
        <v>241.51</v>
      </c>
      <c r="G52" s="3">
        <v>256.83</v>
      </c>
      <c r="H52" s="3">
        <v>254.93</v>
      </c>
      <c r="I52" s="3">
        <v>621372300</v>
      </c>
      <c r="J52" s="15">
        <v>-7.0000000000000007E-2</v>
      </c>
      <c r="K52" s="13">
        <v>1921</v>
      </c>
    </row>
    <row r="53" spans="1:11">
      <c r="A53" s="4">
        <v>44743</v>
      </c>
      <c r="B53" s="18" t="s">
        <v>13</v>
      </c>
      <c r="C53" s="18" t="s">
        <v>19</v>
      </c>
      <c r="D53" s="5">
        <v>256.39</v>
      </c>
      <c r="E53" s="5">
        <v>282</v>
      </c>
      <c r="F53" s="5">
        <v>245.94</v>
      </c>
      <c r="G53" s="5">
        <v>280.74</v>
      </c>
      <c r="H53" s="5">
        <v>278.66000000000003</v>
      </c>
      <c r="I53" s="5">
        <v>534891800</v>
      </c>
      <c r="J53" s="16">
        <v>0.09</v>
      </c>
      <c r="K53" s="20">
        <v>6443</v>
      </c>
    </row>
    <row r="54" spans="1:11">
      <c r="A54" s="2">
        <v>44774</v>
      </c>
      <c r="B54" s="17" t="s">
        <v>14</v>
      </c>
      <c r="C54" s="17" t="s">
        <v>19</v>
      </c>
      <c r="D54" s="3">
        <v>277.82</v>
      </c>
      <c r="E54" s="3">
        <v>294.18</v>
      </c>
      <c r="F54" s="3">
        <v>260.66000000000003</v>
      </c>
      <c r="G54" s="3">
        <v>261.47000000000003</v>
      </c>
      <c r="H54" s="3">
        <v>259.52999999999997</v>
      </c>
      <c r="I54" s="3">
        <v>477157600</v>
      </c>
      <c r="J54" s="15">
        <v>-0.06</v>
      </c>
      <c r="K54" s="13">
        <v>6456</v>
      </c>
    </row>
    <row r="55" spans="1:11">
      <c r="A55" s="4">
        <v>44805</v>
      </c>
      <c r="B55" s="18" t="s">
        <v>15</v>
      </c>
      <c r="C55" s="18" t="s">
        <v>19</v>
      </c>
      <c r="D55" s="5">
        <v>258.87</v>
      </c>
      <c r="E55" s="5">
        <v>267.45</v>
      </c>
      <c r="F55" s="5">
        <v>232.73</v>
      </c>
      <c r="G55" s="5">
        <v>232.9</v>
      </c>
      <c r="H55" s="5">
        <v>231.67</v>
      </c>
      <c r="I55" s="5">
        <v>575586600</v>
      </c>
      <c r="J55" s="16">
        <v>-0.1</v>
      </c>
      <c r="K55" s="20">
        <v>1933</v>
      </c>
    </row>
    <row r="56" spans="1:11">
      <c r="A56" s="2">
        <v>44835</v>
      </c>
      <c r="B56" s="17" t="s">
        <v>16</v>
      </c>
      <c r="C56" s="17" t="s">
        <v>19</v>
      </c>
      <c r="D56" s="3">
        <v>235.41</v>
      </c>
      <c r="E56" s="3">
        <v>251.04</v>
      </c>
      <c r="F56" s="3">
        <v>219.13</v>
      </c>
      <c r="G56" s="3">
        <v>232.13</v>
      </c>
      <c r="H56" s="3">
        <v>230.9</v>
      </c>
      <c r="I56" s="3">
        <v>671225100</v>
      </c>
      <c r="J56" s="15">
        <v>-0.01</v>
      </c>
      <c r="K56" s="13">
        <v>8740</v>
      </c>
    </row>
    <row r="57" spans="1:11">
      <c r="A57" s="4">
        <v>44866</v>
      </c>
      <c r="B57" s="18" t="s">
        <v>17</v>
      </c>
      <c r="C57" s="18" t="s">
        <v>19</v>
      </c>
      <c r="D57" s="5">
        <v>234.6</v>
      </c>
      <c r="E57" s="5">
        <v>255.33</v>
      </c>
      <c r="F57" s="5">
        <v>213.43</v>
      </c>
      <c r="G57" s="5">
        <v>255.14</v>
      </c>
      <c r="H57" s="5">
        <v>253.79</v>
      </c>
      <c r="I57" s="5">
        <v>615296000</v>
      </c>
      <c r="J57" s="16">
        <v>0.09</v>
      </c>
      <c r="K57" s="20">
        <v>2406</v>
      </c>
    </row>
    <row r="58" spans="1:11">
      <c r="A58" s="2">
        <v>44896</v>
      </c>
      <c r="B58" s="17" t="s">
        <v>11</v>
      </c>
      <c r="C58" s="17" t="s">
        <v>19</v>
      </c>
      <c r="D58" s="3">
        <v>253.87</v>
      </c>
      <c r="E58" s="3">
        <v>263.92</v>
      </c>
      <c r="F58" s="3">
        <v>233.87</v>
      </c>
      <c r="G58" s="3">
        <v>239.82</v>
      </c>
      <c r="H58" s="3">
        <v>239.22</v>
      </c>
      <c r="I58" s="3">
        <v>591358700</v>
      </c>
      <c r="J58" s="15">
        <v>-0.06</v>
      </c>
      <c r="K58" s="13">
        <v>7888</v>
      </c>
    </row>
    <row r="59" spans="1:11">
      <c r="A59" s="4">
        <v>44927</v>
      </c>
      <c r="B59" s="18" t="s">
        <v>12</v>
      </c>
      <c r="C59" s="18" t="s">
        <v>19</v>
      </c>
      <c r="D59" s="5">
        <v>243.08</v>
      </c>
      <c r="E59" s="5">
        <v>249.83</v>
      </c>
      <c r="F59" s="5">
        <v>219.35</v>
      </c>
      <c r="G59" s="5">
        <v>247.81</v>
      </c>
      <c r="H59" s="5">
        <v>247.19</v>
      </c>
      <c r="I59" s="5">
        <v>666168100</v>
      </c>
      <c r="J59" s="16">
        <v>0.02</v>
      </c>
      <c r="K59" s="20">
        <v>9866</v>
      </c>
    </row>
    <row r="60" spans="1:11">
      <c r="A60" s="2">
        <v>44958</v>
      </c>
      <c r="B60" s="17" t="s">
        <v>13</v>
      </c>
      <c r="C60" s="17" t="s">
        <v>19</v>
      </c>
      <c r="D60" s="3">
        <v>248</v>
      </c>
      <c r="E60" s="3">
        <v>276.76</v>
      </c>
      <c r="F60" s="3">
        <v>245.47</v>
      </c>
      <c r="G60" s="3">
        <v>249.42</v>
      </c>
      <c r="H60" s="3">
        <v>248.8</v>
      </c>
      <c r="I60" s="3">
        <v>615501000</v>
      </c>
      <c r="J60" s="15">
        <v>0.01</v>
      </c>
      <c r="K60" s="13">
        <v>4081</v>
      </c>
    </row>
    <row r="61" spans="1:11">
      <c r="A61" s="4">
        <v>44986</v>
      </c>
      <c r="B61" s="18" t="s">
        <v>14</v>
      </c>
      <c r="C61" s="18" t="s">
        <v>19</v>
      </c>
      <c r="D61" s="5">
        <v>250.76</v>
      </c>
      <c r="E61" s="5">
        <v>283.33</v>
      </c>
      <c r="F61" s="5">
        <v>245.61</v>
      </c>
      <c r="G61" s="5">
        <v>279.43</v>
      </c>
      <c r="H61" s="5">
        <v>279.43</v>
      </c>
      <c r="I61" s="5">
        <v>438325500</v>
      </c>
      <c r="J61" s="16">
        <v>0.11</v>
      </c>
      <c r="K61" s="20">
        <v>1568</v>
      </c>
    </row>
    <row r="62" spans="1:11">
      <c r="A62" s="2">
        <v>45002</v>
      </c>
      <c r="B62" s="17" t="s">
        <v>15</v>
      </c>
      <c r="C62" s="17" t="s">
        <v>19</v>
      </c>
      <c r="D62" s="3">
        <v>278.26</v>
      </c>
      <c r="E62" s="3">
        <v>283.33</v>
      </c>
      <c r="F62" s="3">
        <v>276.32</v>
      </c>
      <c r="G62" s="3">
        <v>279.43</v>
      </c>
      <c r="H62" s="3">
        <v>279.43</v>
      </c>
      <c r="I62" s="3">
        <v>69527371</v>
      </c>
      <c r="J62" s="15">
        <v>0</v>
      </c>
      <c r="K62" s="13">
        <v>8739</v>
      </c>
    </row>
    <row r="63" spans="1:11">
      <c r="A63" s="5"/>
      <c r="B63" s="5"/>
      <c r="C63" s="5"/>
      <c r="D63" s="5"/>
      <c r="E63" s="5"/>
      <c r="F63" s="5"/>
      <c r="G63" s="5"/>
      <c r="H63" s="5"/>
      <c r="I63" s="5"/>
      <c r="J63" s="5"/>
      <c r="K63" s="10"/>
    </row>
    <row r="64" spans="1:11">
      <c r="A64" s="6"/>
      <c r="B64" s="6"/>
      <c r="C64" s="6"/>
      <c r="D64" s="6">
        <v>12332.12</v>
      </c>
      <c r="E64" s="6">
        <v>13085.9</v>
      </c>
      <c r="F64" s="6">
        <v>11634.36</v>
      </c>
      <c r="G64" s="6">
        <v>12489.72</v>
      </c>
      <c r="H64" s="6">
        <v>12244.67</v>
      </c>
      <c r="I64" s="6">
        <v>37781599171</v>
      </c>
      <c r="J64" s="7">
        <f>SUM(J2:J62)</f>
        <v>1.1200000000000001</v>
      </c>
      <c r="K64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B65"/>
  <sheetViews>
    <sheetView workbookViewId="0">
      <selection activeCell="D56" sqref="D56"/>
    </sheetView>
  </sheetViews>
  <sheetFormatPr defaultRowHeight="14.4"/>
  <cols>
    <col min="1" max="1" width="12.5546875" bestFit="1" customWidth="1"/>
    <col min="2" max="2" width="12.6640625" customWidth="1"/>
  </cols>
  <sheetData>
    <row r="3" spans="1:2">
      <c r="A3" s="26" t="s">
        <v>8</v>
      </c>
      <c r="B3" s="27" t="s">
        <v>21</v>
      </c>
    </row>
    <row r="4" spans="1:2">
      <c r="A4" s="28">
        <v>43191</v>
      </c>
      <c r="B4" s="29">
        <v>0.03</v>
      </c>
    </row>
    <row r="5" spans="1:2">
      <c r="A5" s="28">
        <v>43221</v>
      </c>
      <c r="B5" s="29">
        <v>0.06</v>
      </c>
    </row>
    <row r="6" spans="1:2">
      <c r="A6" s="28">
        <v>43252</v>
      </c>
      <c r="B6" s="29">
        <v>-0.01</v>
      </c>
    </row>
    <row r="7" spans="1:2">
      <c r="A7" s="28">
        <v>43282</v>
      </c>
      <c r="B7" s="29">
        <v>0.08</v>
      </c>
    </row>
    <row r="8" spans="1:2">
      <c r="A8" s="28">
        <v>43313</v>
      </c>
      <c r="B8" s="29">
        <v>0.06</v>
      </c>
    </row>
    <row r="9" spans="1:2">
      <c r="A9" s="28">
        <v>43344</v>
      </c>
      <c r="B9" s="29">
        <v>0.03</v>
      </c>
    </row>
    <row r="10" spans="1:2">
      <c r="A10" s="28">
        <v>43374</v>
      </c>
      <c r="B10" s="29">
        <v>-7.0000000000000007E-2</v>
      </c>
    </row>
    <row r="11" spans="1:2">
      <c r="A11" s="28">
        <v>43405</v>
      </c>
      <c r="B11" s="29">
        <v>0.04</v>
      </c>
    </row>
    <row r="12" spans="1:2">
      <c r="A12" s="28">
        <v>43435</v>
      </c>
      <c r="B12" s="29">
        <v>-0.1</v>
      </c>
    </row>
    <row r="13" spans="1:2">
      <c r="A13" s="28">
        <v>43466</v>
      </c>
      <c r="B13" s="29">
        <v>0.05</v>
      </c>
    </row>
    <row r="14" spans="1:2">
      <c r="A14" s="28">
        <v>43497</v>
      </c>
      <c r="B14" s="29">
        <v>0.08</v>
      </c>
    </row>
    <row r="15" spans="1:2">
      <c r="A15" s="28">
        <v>43525</v>
      </c>
      <c r="B15" s="29">
        <v>0.04</v>
      </c>
    </row>
    <row r="16" spans="1:2">
      <c r="A16" s="28">
        <v>43556</v>
      </c>
      <c r="B16" s="29">
        <v>0.1</v>
      </c>
    </row>
    <row r="17" spans="1:2">
      <c r="A17" s="28">
        <v>43586</v>
      </c>
      <c r="B17" s="29">
        <v>-0.05</v>
      </c>
    </row>
    <row r="18" spans="1:2">
      <c r="A18" s="28">
        <v>43617</v>
      </c>
      <c r="B18" s="29">
        <v>0.08</v>
      </c>
    </row>
    <row r="19" spans="1:2">
      <c r="A19" s="28">
        <v>43647</v>
      </c>
      <c r="B19" s="29">
        <v>0</v>
      </c>
    </row>
    <row r="20" spans="1:2">
      <c r="A20" s="28">
        <v>43678</v>
      </c>
      <c r="B20" s="29">
        <v>0.01</v>
      </c>
    </row>
    <row r="21" spans="1:2">
      <c r="A21" s="28">
        <v>43709</v>
      </c>
      <c r="B21" s="29">
        <v>0.02</v>
      </c>
    </row>
    <row r="22" spans="1:2">
      <c r="A22" s="28">
        <v>43739</v>
      </c>
      <c r="B22" s="29">
        <v>0.03</v>
      </c>
    </row>
    <row r="23" spans="1:2">
      <c r="A23" s="28">
        <v>43770</v>
      </c>
      <c r="B23" s="29">
        <v>0.05</v>
      </c>
    </row>
    <row r="24" spans="1:2">
      <c r="A24" s="28">
        <v>43800</v>
      </c>
      <c r="B24" s="29">
        <v>0.04</v>
      </c>
    </row>
    <row r="25" spans="1:2">
      <c r="A25" s="28">
        <v>43831</v>
      </c>
      <c r="B25" s="29">
        <v>7.0000000000000007E-2</v>
      </c>
    </row>
    <row r="26" spans="1:2">
      <c r="A26" s="28">
        <v>43862</v>
      </c>
      <c r="B26" s="29">
        <v>-0.05</v>
      </c>
    </row>
    <row r="27" spans="1:2">
      <c r="A27" s="28">
        <v>43891</v>
      </c>
      <c r="B27" s="29">
        <v>-0.05</v>
      </c>
    </row>
    <row r="28" spans="1:2">
      <c r="A28" s="28">
        <v>43922</v>
      </c>
      <c r="B28" s="29">
        <v>0.17</v>
      </c>
    </row>
    <row r="29" spans="1:2">
      <c r="A29" s="28">
        <v>43952</v>
      </c>
      <c r="B29" s="29">
        <v>0.04</v>
      </c>
    </row>
    <row r="30" spans="1:2">
      <c r="A30" s="28">
        <v>43983</v>
      </c>
      <c r="B30" s="29">
        <v>0.11</v>
      </c>
    </row>
    <row r="31" spans="1:2">
      <c r="A31" s="28">
        <v>44013</v>
      </c>
      <c r="B31" s="29">
        <v>0.01</v>
      </c>
    </row>
    <row r="32" spans="1:2">
      <c r="A32" s="28">
        <v>44044</v>
      </c>
      <c r="B32" s="29">
        <v>7.0000000000000007E-2</v>
      </c>
    </row>
    <row r="33" spans="1:2">
      <c r="A33" s="28">
        <v>44075</v>
      </c>
      <c r="B33" s="29">
        <v>-7.0000000000000007E-2</v>
      </c>
    </row>
    <row r="34" spans="1:2">
      <c r="A34" s="28">
        <v>44105</v>
      </c>
      <c r="B34" s="29">
        <v>-0.05</v>
      </c>
    </row>
    <row r="35" spans="1:2">
      <c r="A35" s="28">
        <v>44136</v>
      </c>
      <c r="B35" s="29">
        <v>0.05</v>
      </c>
    </row>
    <row r="36" spans="1:2">
      <c r="A36" s="28">
        <v>44166</v>
      </c>
      <c r="B36" s="29">
        <v>0.04</v>
      </c>
    </row>
    <row r="37" spans="1:2">
      <c r="A37" s="28">
        <v>44197</v>
      </c>
      <c r="B37" s="29">
        <v>0.04</v>
      </c>
    </row>
    <row r="38" spans="1:2">
      <c r="A38" s="28">
        <v>44228</v>
      </c>
      <c r="B38" s="29">
        <v>-0.01</v>
      </c>
    </row>
    <row r="39" spans="1:2">
      <c r="A39" s="28">
        <v>44256</v>
      </c>
      <c r="B39" s="29">
        <v>0</v>
      </c>
    </row>
    <row r="40" spans="1:2">
      <c r="A40" s="28">
        <v>44287</v>
      </c>
      <c r="B40" s="29">
        <v>0.06</v>
      </c>
    </row>
    <row r="41" spans="1:2">
      <c r="A41" s="28">
        <v>44317</v>
      </c>
      <c r="B41" s="29">
        <v>-0.01</v>
      </c>
    </row>
    <row r="42" spans="1:2">
      <c r="A42" s="28">
        <v>44348</v>
      </c>
      <c r="B42" s="29">
        <v>0.08</v>
      </c>
    </row>
    <row r="43" spans="1:2">
      <c r="A43" s="28">
        <v>44378</v>
      </c>
      <c r="B43" s="29">
        <v>0.06</v>
      </c>
    </row>
    <row r="44" spans="1:2">
      <c r="A44" s="28">
        <v>44409</v>
      </c>
      <c r="B44" s="29">
        <v>0.05</v>
      </c>
    </row>
    <row r="45" spans="1:2">
      <c r="A45" s="28">
        <v>44440</v>
      </c>
      <c r="B45" s="29">
        <v>-7.0000000000000007E-2</v>
      </c>
    </row>
    <row r="46" spans="1:2">
      <c r="A46" s="28">
        <v>44470</v>
      </c>
      <c r="B46" s="29">
        <v>0.18</v>
      </c>
    </row>
    <row r="47" spans="1:2">
      <c r="A47" s="28">
        <v>44501</v>
      </c>
      <c r="B47" s="29">
        <v>0</v>
      </c>
    </row>
    <row r="48" spans="1:2">
      <c r="A48" s="28">
        <v>44531</v>
      </c>
      <c r="B48" s="29">
        <v>0</v>
      </c>
    </row>
    <row r="49" spans="1:2">
      <c r="A49" s="28">
        <v>44562</v>
      </c>
      <c r="B49" s="29">
        <v>-7.0000000000000007E-2</v>
      </c>
    </row>
    <row r="50" spans="1:2">
      <c r="A50" s="28">
        <v>44593</v>
      </c>
      <c r="B50" s="29">
        <v>-0.04</v>
      </c>
    </row>
    <row r="51" spans="1:2">
      <c r="A51" s="28">
        <v>44621</v>
      </c>
      <c r="B51" s="29">
        <v>0.04</v>
      </c>
    </row>
    <row r="52" spans="1:2">
      <c r="A52" s="28">
        <v>44652</v>
      </c>
      <c r="B52" s="29">
        <v>-0.1</v>
      </c>
    </row>
    <row r="53" spans="1:2">
      <c r="A53" s="28">
        <v>44682</v>
      </c>
      <c r="B53" s="29">
        <v>-0.02</v>
      </c>
    </row>
    <row r="54" spans="1:2">
      <c r="A54" s="28">
        <v>44713</v>
      </c>
      <c r="B54" s="29">
        <v>-7.0000000000000007E-2</v>
      </c>
    </row>
    <row r="55" spans="1:2">
      <c r="A55" s="28">
        <v>44743</v>
      </c>
      <c r="B55" s="29">
        <v>0.09</v>
      </c>
    </row>
    <row r="56" spans="1:2">
      <c r="A56" s="28">
        <v>44774</v>
      </c>
      <c r="B56" s="29">
        <v>-0.06</v>
      </c>
    </row>
    <row r="57" spans="1:2">
      <c r="A57" s="28">
        <v>44805</v>
      </c>
      <c r="B57" s="29">
        <v>-0.1</v>
      </c>
    </row>
    <row r="58" spans="1:2">
      <c r="A58" s="28">
        <v>44835</v>
      </c>
      <c r="B58" s="29">
        <v>-0.01</v>
      </c>
    </row>
    <row r="59" spans="1:2">
      <c r="A59" s="28">
        <v>44866</v>
      </c>
      <c r="B59" s="29">
        <v>0.09</v>
      </c>
    </row>
    <row r="60" spans="1:2">
      <c r="A60" s="28">
        <v>44896</v>
      </c>
      <c r="B60" s="29">
        <v>-0.06</v>
      </c>
    </row>
    <row r="61" spans="1:2">
      <c r="A61" s="28">
        <v>44927</v>
      </c>
      <c r="B61" s="29">
        <v>0.02</v>
      </c>
    </row>
    <row r="62" spans="1:2">
      <c r="A62" s="28">
        <v>44958</v>
      </c>
      <c r="B62" s="29">
        <v>0.01</v>
      </c>
    </row>
    <row r="63" spans="1:2">
      <c r="A63" s="28">
        <v>44986</v>
      </c>
      <c r="B63" s="29">
        <v>0.11</v>
      </c>
    </row>
    <row r="64" spans="1:2">
      <c r="A64" s="28">
        <v>45002</v>
      </c>
      <c r="B64" s="29">
        <v>0</v>
      </c>
    </row>
    <row r="65" spans="1:2">
      <c r="A65" s="28" t="s">
        <v>9</v>
      </c>
      <c r="B65" s="29">
        <v>1.1200000000000001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2"/>
  <sheetViews>
    <sheetView workbookViewId="0">
      <selection activeCell="B1" sqref="B1:B62"/>
    </sheetView>
  </sheetViews>
  <sheetFormatPr defaultRowHeight="14.4"/>
  <cols>
    <col min="1" max="1" width="14.33203125" customWidth="1"/>
  </cols>
  <sheetData>
    <row r="1" spans="1:2">
      <c r="A1" s="1" t="s">
        <v>0</v>
      </c>
      <c r="B1" s="12" t="s">
        <v>10</v>
      </c>
    </row>
    <row r="2" spans="1:2">
      <c r="A2" s="2">
        <v>43191</v>
      </c>
      <c r="B2" s="13">
        <v>4745</v>
      </c>
    </row>
    <row r="3" spans="1:2">
      <c r="A3" s="4">
        <v>43221</v>
      </c>
      <c r="B3" s="19">
        <v>3074</v>
      </c>
    </row>
    <row r="4" spans="1:2">
      <c r="A4" s="2">
        <v>43252</v>
      </c>
      <c r="B4" s="13">
        <v>2669</v>
      </c>
    </row>
    <row r="5" spans="1:2">
      <c r="A5" s="4">
        <v>43282</v>
      </c>
      <c r="B5" s="20">
        <v>2655</v>
      </c>
    </row>
    <row r="6" spans="1:2">
      <c r="A6" s="2">
        <v>43313</v>
      </c>
      <c r="B6" s="14">
        <v>2482</v>
      </c>
    </row>
    <row r="7" spans="1:2">
      <c r="A7" s="4">
        <v>43344</v>
      </c>
      <c r="B7" s="20">
        <v>8264</v>
      </c>
    </row>
    <row r="8" spans="1:2">
      <c r="A8" s="2">
        <v>43374</v>
      </c>
      <c r="B8" s="14">
        <v>6668</v>
      </c>
    </row>
    <row r="9" spans="1:2">
      <c r="A9" s="4">
        <v>43405</v>
      </c>
      <c r="B9" s="20">
        <v>5404</v>
      </c>
    </row>
    <row r="10" spans="1:2">
      <c r="A10" s="2">
        <v>43435</v>
      </c>
      <c r="B10" s="13">
        <v>9890</v>
      </c>
    </row>
    <row r="11" spans="1:2">
      <c r="A11" s="4">
        <v>43466</v>
      </c>
      <c r="B11" s="20">
        <v>7793</v>
      </c>
    </row>
    <row r="12" spans="1:2">
      <c r="A12" s="2">
        <v>43497</v>
      </c>
      <c r="B12" s="13">
        <v>7037</v>
      </c>
    </row>
    <row r="13" spans="1:2">
      <c r="A13" s="4">
        <v>43525</v>
      </c>
      <c r="B13" s="21">
        <v>7050</v>
      </c>
    </row>
    <row r="14" spans="1:2">
      <c r="A14" s="2">
        <v>43556</v>
      </c>
      <c r="B14" s="13">
        <v>8702</v>
      </c>
    </row>
    <row r="15" spans="1:2">
      <c r="A15" s="4">
        <v>43586</v>
      </c>
      <c r="B15" s="21">
        <v>5967</v>
      </c>
    </row>
    <row r="16" spans="1:2">
      <c r="A16" s="2">
        <v>43617</v>
      </c>
      <c r="B16" s="13">
        <v>7407</v>
      </c>
    </row>
    <row r="17" spans="1:2">
      <c r="A17" s="4">
        <v>43647</v>
      </c>
      <c r="B17" s="20">
        <v>3529</v>
      </c>
    </row>
    <row r="18" spans="1:2">
      <c r="A18" s="2">
        <v>43678</v>
      </c>
      <c r="B18" s="13">
        <v>8818</v>
      </c>
    </row>
    <row r="19" spans="1:2">
      <c r="A19" s="4">
        <v>43709</v>
      </c>
      <c r="B19" s="20">
        <v>9580</v>
      </c>
    </row>
    <row r="20" spans="1:2">
      <c r="A20" s="2">
        <v>43739</v>
      </c>
      <c r="B20" s="13">
        <v>4740</v>
      </c>
    </row>
    <row r="21" spans="1:2">
      <c r="A21" s="4">
        <v>43770</v>
      </c>
      <c r="B21" s="22">
        <v>7811</v>
      </c>
    </row>
    <row r="22" spans="1:2">
      <c r="A22" s="2">
        <v>43800</v>
      </c>
      <c r="B22" s="13">
        <v>2967</v>
      </c>
    </row>
    <row r="23" spans="1:2">
      <c r="A23" s="4">
        <v>43831</v>
      </c>
      <c r="B23" s="20">
        <v>8790</v>
      </c>
    </row>
    <row r="24" spans="1:2">
      <c r="A24" s="2">
        <v>43862</v>
      </c>
      <c r="B24" s="13">
        <v>4668</v>
      </c>
    </row>
    <row r="25" spans="1:2">
      <c r="A25" s="4">
        <v>43891</v>
      </c>
      <c r="B25" s="21">
        <v>1234</v>
      </c>
    </row>
    <row r="26" spans="1:2">
      <c r="A26" s="2">
        <v>43922</v>
      </c>
      <c r="B26" s="13">
        <v>5313</v>
      </c>
    </row>
    <row r="27" spans="1:2">
      <c r="A27" s="4">
        <v>43952</v>
      </c>
      <c r="B27" s="20">
        <v>7972</v>
      </c>
    </row>
    <row r="28" spans="1:2">
      <c r="A28" s="2">
        <v>43983</v>
      </c>
      <c r="B28" s="13">
        <v>4575</v>
      </c>
    </row>
    <row r="29" spans="1:2">
      <c r="A29" s="4">
        <v>44013</v>
      </c>
      <c r="B29" s="21">
        <v>1520</v>
      </c>
    </row>
    <row r="30" spans="1:2">
      <c r="A30" s="2">
        <v>44044</v>
      </c>
      <c r="B30" s="13">
        <v>3223</v>
      </c>
    </row>
    <row r="31" spans="1:2">
      <c r="A31" s="4">
        <v>44075</v>
      </c>
      <c r="B31" s="20">
        <v>4292</v>
      </c>
    </row>
    <row r="32" spans="1:2">
      <c r="A32" s="2">
        <v>44105</v>
      </c>
      <c r="B32" s="13">
        <v>8580</v>
      </c>
    </row>
    <row r="33" spans="1:2">
      <c r="A33" s="4">
        <v>44136</v>
      </c>
      <c r="B33" s="20">
        <v>9819</v>
      </c>
    </row>
    <row r="34" spans="1:2">
      <c r="A34" s="2">
        <v>44166</v>
      </c>
      <c r="B34" s="13">
        <v>6622</v>
      </c>
    </row>
    <row r="35" spans="1:2">
      <c r="A35" s="4">
        <v>44197</v>
      </c>
      <c r="B35" s="20">
        <v>9227</v>
      </c>
    </row>
    <row r="36" spans="1:2">
      <c r="A36" s="2">
        <v>44228</v>
      </c>
      <c r="B36" s="13">
        <v>3280</v>
      </c>
    </row>
    <row r="37" spans="1:2">
      <c r="A37" s="4">
        <v>44256</v>
      </c>
      <c r="B37" s="20">
        <v>7415</v>
      </c>
    </row>
    <row r="38" spans="1:2">
      <c r="A38" s="2">
        <v>44287</v>
      </c>
      <c r="B38" s="13">
        <v>4516</v>
      </c>
    </row>
    <row r="39" spans="1:2">
      <c r="A39" s="4">
        <v>44317</v>
      </c>
      <c r="B39" s="20">
        <v>9687</v>
      </c>
    </row>
    <row r="40" spans="1:2">
      <c r="A40" s="2">
        <v>44348</v>
      </c>
      <c r="B40" s="13">
        <v>2653</v>
      </c>
    </row>
    <row r="41" spans="1:2">
      <c r="A41" s="4">
        <v>44378</v>
      </c>
      <c r="B41" s="20">
        <v>8397</v>
      </c>
    </row>
    <row r="42" spans="1:2">
      <c r="A42" s="2">
        <v>44409</v>
      </c>
      <c r="B42" s="13">
        <v>6805</v>
      </c>
    </row>
    <row r="43" spans="1:2">
      <c r="A43" s="4">
        <v>44440</v>
      </c>
      <c r="B43" s="20">
        <v>1861</v>
      </c>
    </row>
    <row r="44" spans="1:2">
      <c r="A44" s="2">
        <v>44470</v>
      </c>
      <c r="B44" s="13">
        <v>3851</v>
      </c>
    </row>
    <row r="45" spans="1:2">
      <c r="A45" s="4">
        <v>44501</v>
      </c>
      <c r="B45" s="20">
        <v>5869</v>
      </c>
    </row>
    <row r="46" spans="1:2">
      <c r="A46" s="2">
        <v>44531</v>
      </c>
      <c r="B46" s="13">
        <v>6795</v>
      </c>
    </row>
    <row r="47" spans="1:2">
      <c r="A47" s="4">
        <v>44562</v>
      </c>
      <c r="B47" s="20">
        <v>3310</v>
      </c>
    </row>
    <row r="48" spans="1:2">
      <c r="A48" s="2">
        <v>44593</v>
      </c>
      <c r="B48" s="13">
        <v>6358</v>
      </c>
    </row>
    <row r="49" spans="1:2">
      <c r="A49" s="4">
        <v>44621</v>
      </c>
      <c r="B49" s="20">
        <v>6702</v>
      </c>
    </row>
    <row r="50" spans="1:2">
      <c r="A50" s="2">
        <v>44652</v>
      </c>
      <c r="B50" s="13">
        <v>1626</v>
      </c>
    </row>
    <row r="51" spans="1:2">
      <c r="A51" s="4">
        <v>44682</v>
      </c>
      <c r="B51" s="20">
        <v>4443</v>
      </c>
    </row>
    <row r="52" spans="1:2">
      <c r="A52" s="2">
        <v>44713</v>
      </c>
      <c r="B52" s="13">
        <v>1921</v>
      </c>
    </row>
    <row r="53" spans="1:2">
      <c r="A53" s="4">
        <v>44743</v>
      </c>
      <c r="B53" s="20">
        <v>6443</v>
      </c>
    </row>
    <row r="54" spans="1:2">
      <c r="A54" s="2">
        <v>44774</v>
      </c>
      <c r="B54" s="13">
        <v>6456</v>
      </c>
    </row>
    <row r="55" spans="1:2">
      <c r="A55" s="4">
        <v>44805</v>
      </c>
      <c r="B55" s="20">
        <v>1933</v>
      </c>
    </row>
    <row r="56" spans="1:2">
      <c r="A56" s="2">
        <v>44835</v>
      </c>
      <c r="B56" s="13">
        <v>8740</v>
      </c>
    </row>
    <row r="57" spans="1:2">
      <c r="A57" s="4">
        <v>44866</v>
      </c>
      <c r="B57" s="20">
        <v>2406</v>
      </c>
    </row>
    <row r="58" spans="1:2">
      <c r="A58" s="2">
        <v>44896</v>
      </c>
      <c r="B58" s="13">
        <v>7888</v>
      </c>
    </row>
    <row r="59" spans="1:2">
      <c r="A59" s="4">
        <v>44927</v>
      </c>
      <c r="B59" s="20">
        <v>9866</v>
      </c>
    </row>
    <row r="60" spans="1:2">
      <c r="A60" s="2">
        <v>44958</v>
      </c>
      <c r="B60" s="13">
        <v>4081</v>
      </c>
    </row>
    <row r="61" spans="1:2">
      <c r="A61" s="4">
        <v>44986</v>
      </c>
      <c r="B61" s="20">
        <v>1568</v>
      </c>
    </row>
    <row r="62" spans="1:2">
      <c r="A62" s="2">
        <v>45002</v>
      </c>
      <c r="B62" s="13">
        <v>8739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Data</vt:lpstr>
      <vt:lpstr>Daily Return</vt:lpstr>
      <vt:lpstr>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 Sharma</dc:creator>
  <cp:lastModifiedBy>Shashwat Sharma</cp:lastModifiedBy>
  <dcterms:created xsi:type="dcterms:W3CDTF">2026-06-16T06:17:08Z</dcterms:created>
  <dcterms:modified xsi:type="dcterms:W3CDTF">2026-06-16T15:55:49Z</dcterms:modified>
</cp:coreProperties>
</file>